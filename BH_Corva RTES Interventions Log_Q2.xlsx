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RTES Pilot Project\"/>
    </mc:Choice>
  </mc:AlternateContent>
  <xr:revisionPtr revIDLastSave="0" documentId="13_ncr:1_{81F2662A-E9A4-4704-9B7D-4819165C04F0}" xr6:coauthVersionLast="47" xr6:coauthVersionMax="47" xr10:uidLastSave="{00000000-0000-0000-0000-000000000000}"/>
  <bookViews>
    <workbookView xWindow="-108" yWindow="-108" windowWidth="30936" windowHeight="16776" tabRatio="331" xr2:uid="{00000000-000D-0000-FFFF-FFFF00000000}"/>
  </bookViews>
  <sheets>
    <sheet name="Intervention Log" sheetId="1" r:id="rId1"/>
    <sheet name="RTES CA" sheetId="3" r:id="rId2"/>
    <sheet name="List" sheetId="2" r:id="rId3"/>
  </sheets>
  <definedNames>
    <definedName name="_xlnm._FilterDatabase" localSheetId="0" hidden="1">'Intervention Log'!$A$1:$AE$478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472" i="1" l="1"/>
  <c r="AE472" i="1"/>
  <c r="AD473" i="1"/>
  <c r="AE473" i="1"/>
  <c r="AD474" i="1"/>
  <c r="AE474" i="1"/>
  <c r="AD475" i="1"/>
  <c r="AE475" i="1"/>
  <c r="AD476" i="1"/>
  <c r="AE476" i="1"/>
  <c r="AD477" i="1"/>
  <c r="AE477" i="1"/>
  <c r="AD478" i="1"/>
  <c r="AE478" i="1"/>
  <c r="AD471" i="1" l="1"/>
  <c r="AE471" i="1"/>
  <c r="AD466" i="1" l="1"/>
  <c r="AE466" i="1"/>
  <c r="AD467" i="1"/>
  <c r="AE467" i="1"/>
  <c r="AD468" i="1"/>
  <c r="AE468" i="1"/>
  <c r="AD469" i="1"/>
  <c r="AE469" i="1"/>
  <c r="AD470" i="1"/>
  <c r="AE470" i="1"/>
  <c r="AE460" i="1"/>
  <c r="AD460" i="1"/>
  <c r="AE449" i="1"/>
  <c r="AE450" i="1"/>
  <c r="AE451" i="1"/>
  <c r="AE452" i="1"/>
  <c r="AE453" i="1"/>
  <c r="AE454" i="1"/>
  <c r="AE455" i="1"/>
  <c r="AE456" i="1"/>
  <c r="AE457" i="1"/>
  <c r="AE458" i="1"/>
  <c r="AE459" i="1"/>
  <c r="AE461" i="1"/>
  <c r="AE462" i="1"/>
  <c r="AE463" i="1"/>
  <c r="AE464" i="1"/>
  <c r="AE465" i="1"/>
  <c r="AD450" i="1"/>
  <c r="AD448" i="1"/>
  <c r="AD449" i="1"/>
  <c r="AD451" i="1"/>
  <c r="AD452" i="1"/>
  <c r="AD453" i="1"/>
  <c r="AD454" i="1"/>
  <c r="AD455" i="1"/>
  <c r="AD456" i="1"/>
  <c r="AD457"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58" i="1"/>
  <c r="AD459" i="1"/>
  <c r="AD461" i="1"/>
  <c r="AD462" i="1"/>
  <c r="AD463" i="1"/>
  <c r="AD464" i="1"/>
  <c r="AD465" i="1"/>
  <c r="AE446" i="1" l="1"/>
  <c r="AE447" i="1"/>
  <c r="AE448" i="1"/>
  <c r="AE438" i="1" l="1"/>
  <c r="AE445" i="1"/>
  <c r="AE444" i="1" l="1"/>
  <c r="AE443" i="1"/>
  <c r="AE436" i="1" l="1"/>
  <c r="AE440" i="1"/>
  <c r="AE441" i="1"/>
  <c r="AE435" i="1"/>
  <c r="AE434" i="1"/>
  <c r="AD408" i="1" l="1"/>
  <c r="AE429" i="1"/>
  <c r="AE428" i="1"/>
  <c r="AE426" i="1" l="1"/>
  <c r="AE425" i="1"/>
  <c r="AE424" i="1"/>
  <c r="AE423" i="1"/>
  <c r="AD409" i="1"/>
  <c r="AE409" i="1"/>
  <c r="AE419" i="1"/>
  <c r="AE418" i="1"/>
  <c r="AE416" i="1"/>
  <c r="AE415" i="1"/>
  <c r="AD415" i="1"/>
  <c r="AE414" i="1"/>
  <c r="AD414" i="1"/>
  <c r="AE413" i="1"/>
  <c r="AD413" i="1"/>
  <c r="AE412" i="1"/>
  <c r="AD412" i="1"/>
  <c r="AE411" i="1"/>
  <c r="AD411" i="1"/>
  <c r="AE408" i="1"/>
  <c r="N11" i="3" l="1"/>
  <c r="N13" i="3" s="1"/>
  <c r="AE407" i="1" l="1"/>
  <c r="AD407" i="1"/>
  <c r="AE406" i="1"/>
  <c r="AD406" i="1"/>
  <c r="AE404" i="1"/>
  <c r="AD404" i="1"/>
  <c r="AE403" i="1"/>
  <c r="AD403" i="1"/>
  <c r="AE380" i="1"/>
  <c r="AD380" i="1"/>
  <c r="AE347" i="1" l="1"/>
  <c r="AD347" i="1"/>
  <c r="AE346" i="1"/>
  <c r="AD346" i="1"/>
  <c r="AE397" i="1"/>
  <c r="AD397" i="1"/>
  <c r="AE396" i="1"/>
  <c r="AD396" i="1"/>
  <c r="AE395" i="1"/>
  <c r="AD395" i="1"/>
  <c r="AE394" i="1"/>
  <c r="AD394" i="1"/>
  <c r="AE393" i="1"/>
  <c r="AD393" i="1"/>
  <c r="AE391" i="1"/>
  <c r="AD391" i="1"/>
  <c r="AD320" i="1" l="1"/>
  <c r="AE389" i="1"/>
  <c r="AD389" i="1"/>
  <c r="AE386" i="1"/>
  <c r="AE385" i="1"/>
  <c r="AE384" i="1"/>
  <c r="AE382" i="1"/>
  <c r="AE381" i="1"/>
  <c r="AE378" i="1"/>
  <c r="AE377" i="1"/>
  <c r="AE376" i="1"/>
  <c r="AE375" i="1"/>
  <c r="AE368" i="1"/>
  <c r="AE366" i="1"/>
  <c r="AE365" i="1"/>
  <c r="AE364" i="1"/>
  <c r="AE363" i="1"/>
  <c r="AE361" i="1"/>
  <c r="AE360" i="1"/>
  <c r="AE358" i="1"/>
  <c r="AE357" i="1"/>
  <c r="AE354" i="1"/>
  <c r="AE353" i="1"/>
  <c r="AE352" i="1"/>
  <c r="AE350" i="1"/>
  <c r="AE349" i="1"/>
  <c r="AE348" i="1"/>
  <c r="AE345" i="1"/>
  <c r="AE343" i="1"/>
  <c r="AE342" i="1"/>
  <c r="AE341" i="1"/>
  <c r="AE338" i="1"/>
  <c r="AE336" i="1"/>
  <c r="AE335" i="1"/>
  <c r="AE334" i="1"/>
  <c r="AE333" i="1"/>
  <c r="AE332" i="1"/>
  <c r="AE331" i="1"/>
  <c r="AE329" i="1"/>
  <c r="AE328" i="1"/>
  <c r="AE325" i="1"/>
  <c r="AE323" i="1"/>
  <c r="AE322" i="1"/>
  <c r="AE321" i="1"/>
  <c r="AE319" i="1"/>
  <c r="AE318" i="1"/>
  <c r="AE317" i="1"/>
  <c r="AE316" i="1"/>
  <c r="AE315" i="1"/>
  <c r="AE314" i="1"/>
  <c r="AE313" i="1"/>
  <c r="AE312" i="1"/>
  <c r="AE311" i="1"/>
  <c r="AE310" i="1"/>
  <c r="AE308" i="1"/>
  <c r="AE306" i="1"/>
  <c r="AE305" i="1"/>
  <c r="AE303" i="1"/>
  <c r="AD313" i="1"/>
  <c r="AD386" i="1"/>
  <c r="AD385" i="1"/>
  <c r="AD384" i="1"/>
  <c r="AD382" i="1"/>
  <c r="AD381" i="1"/>
  <c r="AD378" i="1"/>
  <c r="AD377" i="1"/>
  <c r="AD376" i="1"/>
  <c r="AD375" i="1"/>
  <c r="AD368" i="1"/>
  <c r="AD366" i="1"/>
  <c r="AD365" i="1"/>
  <c r="AD364" i="1"/>
  <c r="AD363" i="1"/>
  <c r="AD361" i="1"/>
  <c r="AD360" i="1"/>
  <c r="AD358" i="1"/>
  <c r="AD357" i="1"/>
  <c r="AD354" i="1"/>
  <c r="AD353" i="1"/>
  <c r="AD352" i="1"/>
  <c r="AD350" i="1"/>
  <c r="AD349" i="1"/>
  <c r="AD348" i="1"/>
  <c r="AD345" i="1"/>
  <c r="AD343" i="1"/>
  <c r="AD342" i="1"/>
  <c r="AD341" i="1"/>
  <c r="AD338" i="1"/>
  <c r="AD336" i="1"/>
  <c r="AD335" i="1"/>
  <c r="AD334" i="1"/>
  <c r="AD333" i="1"/>
  <c r="AD332" i="1"/>
  <c r="AD331" i="1"/>
  <c r="AD329" i="1"/>
  <c r="AD328" i="1"/>
  <c r="AD325" i="1"/>
  <c r="AD323" i="1"/>
  <c r="AD322" i="1"/>
  <c r="AD321" i="1"/>
  <c r="AD319" i="1"/>
  <c r="AD318" i="1"/>
  <c r="AD317" i="1"/>
  <c r="AD316" i="1"/>
  <c r="AD315" i="1"/>
  <c r="AD314" i="1"/>
  <c r="AD312" i="1"/>
  <c r="AD311" i="1"/>
  <c r="AD310" i="1"/>
  <c r="AD308" i="1"/>
  <c r="AD306" i="1"/>
  <c r="AD305" i="1"/>
  <c r="AD303" i="1"/>
  <c r="AE387" i="1" l="1"/>
  <c r="AD387" i="1"/>
  <c r="AD324" i="1"/>
  <c r="AD326" i="1"/>
  <c r="AD327" i="1"/>
  <c r="AD330" i="1"/>
  <c r="AD337" i="1"/>
  <c r="AD339" i="1"/>
  <c r="AD340" i="1"/>
  <c r="AD344" i="1"/>
  <c r="AD351" i="1"/>
  <c r="AD355" i="1"/>
  <c r="AD356" i="1"/>
  <c r="AD359" i="1"/>
  <c r="AD362" i="1"/>
  <c r="AD367" i="1"/>
  <c r="AD369" i="1"/>
  <c r="AD370" i="1"/>
  <c r="AD371" i="1"/>
  <c r="AD372" i="1"/>
  <c r="AD373" i="1"/>
  <c r="AD374" i="1"/>
  <c r="AD379" i="1"/>
  <c r="AD383" i="1"/>
  <c r="AD388" i="1"/>
  <c r="AD390" i="1"/>
  <c r="AD392" i="1"/>
  <c r="AD398" i="1"/>
  <c r="AD399" i="1"/>
  <c r="AD400" i="1"/>
  <c r="AD401" i="1"/>
  <c r="AD402" i="1"/>
  <c r="AD405" i="1"/>
  <c r="AD410" i="1"/>
  <c r="AE433" i="1" l="1"/>
  <c r="AE432" i="1"/>
  <c r="AE431" i="1"/>
  <c r="AE422" i="1"/>
  <c r="AE421" i="1"/>
  <c r="AE420" i="1"/>
  <c r="AE417" i="1"/>
  <c r="AE410" i="1"/>
  <c r="AE405" i="1"/>
  <c r="AE402" i="1"/>
  <c r="AE401" i="1"/>
  <c r="AE400" i="1"/>
  <c r="AE399" i="1"/>
  <c r="AE398" i="1"/>
  <c r="AE392" i="1"/>
  <c r="AE390" i="1"/>
  <c r="AE388" i="1"/>
  <c r="AE383" i="1"/>
  <c r="AE374" i="1"/>
  <c r="AE373" i="1"/>
  <c r="AE372" i="1"/>
  <c r="AE371" i="1"/>
  <c r="AE370" i="1"/>
  <c r="AE367" i="1"/>
  <c r="AE359" i="1"/>
  <c r="AE356" i="1"/>
  <c r="AE320" i="1"/>
  <c r="AE379" i="1" l="1"/>
  <c r="AE369" i="1" l="1"/>
  <c r="AE362" i="1" l="1"/>
  <c r="AE355" i="1" l="1"/>
  <c r="AE351" i="1"/>
  <c r="AE337" i="1"/>
  <c r="AE339" i="1"/>
  <c r="AE340" i="1"/>
  <c r="AE344" i="1"/>
  <c r="AE324" i="1" l="1"/>
  <c r="AE326" i="1" l="1"/>
  <c r="AE327" i="1"/>
  <c r="AE330" i="1"/>
  <c r="AD288" i="1"/>
  <c r="AE288" i="1"/>
  <c r="AD289" i="1"/>
  <c r="AE289" i="1"/>
  <c r="AD290" i="1"/>
  <c r="AE290" i="1"/>
  <c r="AD291" i="1"/>
  <c r="AE291" i="1"/>
  <c r="AD292" i="1"/>
  <c r="AE292" i="1"/>
  <c r="AD293" i="1"/>
  <c r="AE293" i="1"/>
  <c r="AD294" i="1"/>
  <c r="AE294" i="1"/>
  <c r="AD295" i="1"/>
  <c r="AE295" i="1"/>
  <c r="AD296" i="1"/>
  <c r="AE296" i="1"/>
  <c r="AD297" i="1"/>
  <c r="AE297" i="1"/>
  <c r="AD298" i="1"/>
  <c r="AE298" i="1"/>
  <c r="AD299" i="1"/>
  <c r="AE299" i="1"/>
  <c r="AD300" i="1"/>
  <c r="AE300" i="1"/>
  <c r="AE301" i="1"/>
  <c r="AD302" i="1"/>
  <c r="AE302" i="1"/>
  <c r="AD304" i="1"/>
  <c r="AE304" i="1"/>
  <c r="AD307" i="1"/>
  <c r="AE307" i="1"/>
  <c r="AD309" i="1"/>
  <c r="AE309" i="1"/>
  <c r="AD287" i="1"/>
  <c r="AE287" i="1"/>
  <c r="AE286" i="1"/>
  <c r="AD286" i="1"/>
  <c r="AE285" i="1"/>
  <c r="AD285" i="1"/>
  <c r="AE284" i="1"/>
  <c r="AD284" i="1"/>
  <c r="AE283" i="1"/>
  <c r="AD283" i="1"/>
  <c r="AE282" i="1"/>
  <c r="AD282" i="1"/>
  <c r="AE281" i="1"/>
  <c r="AD281" i="1"/>
  <c r="AE280" i="1"/>
  <c r="AD280" i="1"/>
  <c r="AE279" i="1"/>
  <c r="AD279" i="1"/>
  <c r="AE278" i="1"/>
  <c r="AD278" i="1"/>
  <c r="AE277" i="1"/>
  <c r="AD277" i="1"/>
  <c r="AE276" i="1"/>
  <c r="AD276" i="1"/>
  <c r="AE275" i="1"/>
  <c r="AD275" i="1"/>
  <c r="AE274" i="1"/>
  <c r="AD274" i="1"/>
  <c r="AE273" i="1"/>
  <c r="AD273" i="1"/>
  <c r="AE272" i="1"/>
  <c r="AD272" i="1"/>
  <c r="AE271" i="1"/>
  <c r="AD271" i="1"/>
  <c r="AE269" i="1"/>
  <c r="AD269" i="1"/>
  <c r="AE268" i="1"/>
  <c r="AD268" i="1"/>
  <c r="AE267" i="1"/>
  <c r="AD267" i="1"/>
  <c r="AE266" i="1"/>
  <c r="AD266" i="1"/>
  <c r="AE265" i="1"/>
  <c r="AD265" i="1"/>
  <c r="AE264" i="1"/>
  <c r="AD264" i="1"/>
  <c r="AE263" i="1"/>
  <c r="AD263" i="1"/>
  <c r="AE262" i="1"/>
  <c r="AD262" i="1"/>
  <c r="AE261" i="1"/>
  <c r="AD261" i="1"/>
  <c r="AE258" i="1"/>
  <c r="AD258" i="1"/>
  <c r="AE257" i="1"/>
  <c r="AD257" i="1"/>
  <c r="AE256" i="1"/>
  <c r="AD256" i="1"/>
  <c r="AE255" i="1"/>
  <c r="AD255" i="1"/>
  <c r="AE254" i="1"/>
  <c r="AD254" i="1"/>
  <c r="AE252" i="1"/>
  <c r="AD252" i="1"/>
  <c r="AE251" i="1"/>
  <c r="AD251" i="1"/>
  <c r="AE250" i="1"/>
  <c r="AD250" i="1"/>
  <c r="AE249" i="1"/>
  <c r="AD249" i="1"/>
  <c r="AE248" i="1"/>
  <c r="AD248" i="1"/>
  <c r="AE247" i="1"/>
  <c r="AD247" i="1"/>
  <c r="AE246" i="1"/>
  <c r="AD246" i="1"/>
  <c r="AE243" i="1"/>
  <c r="AD243" i="1"/>
  <c r="AE242" i="1"/>
  <c r="AD242" i="1"/>
  <c r="AE240" i="1"/>
  <c r="AD240" i="1"/>
  <c r="AE239" i="1"/>
  <c r="AD239" i="1"/>
  <c r="AE238" i="1"/>
  <c r="AD238" i="1"/>
  <c r="AE237" i="1"/>
  <c r="AD237" i="1"/>
  <c r="AE236" i="1"/>
  <c r="AD236" i="1"/>
  <c r="AE235" i="1"/>
  <c r="AD235" i="1"/>
  <c r="AE234" i="1"/>
  <c r="AD234" i="1"/>
  <c r="AE232" i="1"/>
  <c r="AD232" i="1"/>
  <c r="AE226" i="1"/>
  <c r="AD226" i="1"/>
  <c r="AE224" i="1"/>
  <c r="AD224" i="1"/>
  <c r="AE219" i="1"/>
  <c r="AD219" i="1"/>
  <c r="AE217" i="1"/>
  <c r="AD217" i="1"/>
  <c r="AE214" i="1"/>
  <c r="AD214" i="1"/>
  <c r="AE213" i="1"/>
  <c r="AD213" i="1"/>
  <c r="AE211" i="1"/>
  <c r="AD211" i="1"/>
  <c r="AE205" i="1"/>
  <c r="AD205" i="1"/>
  <c r="AE203" i="1"/>
  <c r="AD203" i="1"/>
  <c r="AE201" i="1"/>
  <c r="AD201" i="1"/>
  <c r="AE199" i="1"/>
  <c r="AD199" i="1"/>
  <c r="AE198" i="1"/>
  <c r="AD198" i="1"/>
  <c r="AE197" i="1"/>
  <c r="AD197" i="1"/>
  <c r="AE196" i="1"/>
  <c r="AD196" i="1"/>
  <c r="AE190" i="1"/>
  <c r="AD190" i="1"/>
  <c r="AE189" i="1"/>
  <c r="AD189" i="1"/>
  <c r="AE188" i="1"/>
  <c r="AD188" i="1"/>
  <c r="AE184" i="1"/>
  <c r="AD184" i="1"/>
  <c r="AE183" i="1"/>
  <c r="AD183" i="1"/>
  <c r="AE181" i="1"/>
  <c r="AD181" i="1"/>
  <c r="AE180" i="1"/>
  <c r="AD180" i="1"/>
  <c r="AE179" i="1"/>
  <c r="AD179" i="1"/>
  <c r="AE178" i="1"/>
  <c r="AD178" i="1"/>
  <c r="AE175" i="1"/>
  <c r="AD175" i="1"/>
  <c r="AE169" i="1"/>
  <c r="AD169" i="1"/>
  <c r="AE168" i="1"/>
  <c r="AD168" i="1"/>
  <c r="AE163" i="1"/>
  <c r="AD163" i="1"/>
  <c r="AE161" i="1"/>
  <c r="AD161" i="1"/>
  <c r="AE147" i="1"/>
  <c r="AD147" i="1"/>
  <c r="AE142" i="1"/>
  <c r="AD142" i="1"/>
  <c r="AE139" i="1"/>
  <c r="AD139" i="1"/>
  <c r="AE136" i="1"/>
  <c r="AD136" i="1"/>
  <c r="AE91" i="1"/>
  <c r="AD91" i="1"/>
  <c r="AE73" i="1"/>
  <c r="AD73" i="1"/>
  <c r="AE57" i="1"/>
  <c r="AD57" i="1"/>
  <c r="AE46" i="1"/>
  <c r="AD46" i="1"/>
  <c r="AD44" i="1"/>
  <c r="AE41" i="1"/>
  <c r="AD41" i="1"/>
  <c r="AE40" i="1"/>
  <c r="AD40" i="1"/>
  <c r="AE38" i="1"/>
  <c r="AD38" i="1"/>
  <c r="AE37" i="1"/>
  <c r="AD37" i="1"/>
  <c r="AE36" i="1"/>
  <c r="AD36" i="1"/>
  <c r="AE32" i="1"/>
  <c r="AD32" i="1"/>
  <c r="AE20" i="1"/>
  <c r="AD20" i="1"/>
  <c r="AE8" i="1"/>
  <c r="AD8" i="1"/>
</calcChain>
</file>

<file path=xl/sharedStrings.xml><?xml version="1.0" encoding="utf-8"?>
<sst xmlns="http://schemas.openxmlformats.org/spreadsheetml/2006/main" count="9460" uniqueCount="1693">
  <si>
    <t>Interventions Count</t>
  </si>
  <si>
    <t>Date</t>
  </si>
  <si>
    <t>Intervention Time</t>
  </si>
  <si>
    <t>Rig Name</t>
  </si>
  <si>
    <t>Well Name</t>
  </si>
  <si>
    <t>Hole Size</t>
  </si>
  <si>
    <t>ENG. Dept</t>
  </si>
  <si>
    <t>Opt. Dept</t>
  </si>
  <si>
    <t>Intervention Category</t>
  </si>
  <si>
    <t>Intervention Type</t>
  </si>
  <si>
    <t>Event Index</t>
  </si>
  <si>
    <t>Corva App</t>
  </si>
  <si>
    <t>Parameter</t>
  </si>
  <si>
    <t>Expected</t>
  </si>
  <si>
    <t>Actual</t>
  </si>
  <si>
    <t>Intervention Description</t>
  </si>
  <si>
    <t>Recommendation</t>
  </si>
  <si>
    <t>Event Time If Applicable</t>
  </si>
  <si>
    <t>RTOC Comments</t>
  </si>
  <si>
    <t>RTOC to Rig Communication</t>
  </si>
  <si>
    <t>Rig Taken Action</t>
  </si>
  <si>
    <t>Rig Comment</t>
  </si>
  <si>
    <t>RTOC lead name</t>
  </si>
  <si>
    <t>RTES Rep</t>
  </si>
  <si>
    <t>Field</t>
  </si>
  <si>
    <t>Rig Spread Rate ($/day)</t>
  </si>
  <si>
    <t>KINGDOM-2</t>
  </si>
  <si>
    <t>MRJN-540</t>
  </si>
  <si>
    <t>16"</t>
  </si>
  <si>
    <t>OFO&amp;GDED</t>
  </si>
  <si>
    <t>ODD#2</t>
  </si>
  <si>
    <t>Operational Compliance</t>
  </si>
  <si>
    <t>Alert</t>
  </si>
  <si>
    <t>Hookload Broomstick Plot</t>
  </si>
  <si>
    <t>Hookload</t>
  </si>
  <si>
    <t>&gt;50 klbs</t>
  </si>
  <si>
    <t>0-5 klbs</t>
  </si>
  <si>
    <t>Inslips hookload values are below 5 klbs</t>
  </si>
  <si>
    <t>Recalibrate HL Sensor</t>
  </si>
  <si>
    <t>Enire Well</t>
  </si>
  <si>
    <t>Yes</t>
  </si>
  <si>
    <t>Engineeer Informed Rig to recalibrate sensor</t>
  </si>
  <si>
    <t>Confirmed to follow recommendation</t>
  </si>
  <si>
    <t>Ibrahim Yami</t>
  </si>
  <si>
    <t>Ahmed Khoshnaw</t>
  </si>
  <si>
    <t>MRJN</t>
  </si>
  <si>
    <t>SND-2001</t>
  </si>
  <si>
    <t>UTMN-3260</t>
  </si>
  <si>
    <t>22"</t>
  </si>
  <si>
    <t>GDED</t>
  </si>
  <si>
    <t>NGGDD</t>
  </si>
  <si>
    <t>Traces</t>
  </si>
  <si>
    <t>Torque</t>
  </si>
  <si>
    <t>&lt;10klbs.ft</t>
  </si>
  <si>
    <t>23.7klbs.ft</t>
  </si>
  <si>
    <t>On kelly down drill off for 2 min and attempted to BR and had stallout TQ</t>
  </si>
  <si>
    <t>Recommendation to wait TQ to be steady before P/U off btm.</t>
  </si>
  <si>
    <t>Requested rig to follow Aramco connection practices</t>
  </si>
  <si>
    <t>MohamedFarag</t>
  </si>
  <si>
    <t>Rodrigo Faria</t>
  </si>
  <si>
    <t>UTMN</t>
  </si>
  <si>
    <t>ADC-49</t>
  </si>
  <si>
    <t>HRDH-2531</t>
  </si>
  <si>
    <t>12"</t>
  </si>
  <si>
    <t>Well control</t>
  </si>
  <si>
    <t>Observation</t>
  </si>
  <si>
    <t>Other</t>
  </si>
  <si>
    <t>At 5970' MD observed increase in the flow out %, informed RTOC team and they communicated with Rig, after 2 Flow checks it was confirmed by Foreman that it is sensor issue</t>
  </si>
  <si>
    <t>Stopped for Flow check to check well condetion</t>
  </si>
  <si>
    <t>Sent email to follow up with Aramco foreman</t>
  </si>
  <si>
    <t>Confirermed having Sensor Issue</t>
  </si>
  <si>
    <t>Mufutau Okunuga</t>
  </si>
  <si>
    <t>Abdelrahman</t>
  </si>
  <si>
    <t>HRDH</t>
  </si>
  <si>
    <t>Parameters comparison</t>
  </si>
  <si>
    <t>ROP</t>
  </si>
  <si>
    <t>100 fph</t>
  </si>
  <si>
    <t>After Flow check for partial losses and pumped LCM, later got full return, Rig controlled Drlg Par.</t>
  </si>
  <si>
    <t>Since there is no Lossess and compared with offset wells we could push for more WOB to enhance ROP</t>
  </si>
  <si>
    <t>Leave it to Foreman decision for not indusing any losses</t>
  </si>
  <si>
    <t>No</t>
  </si>
  <si>
    <t>Prefered To cont. Controlling ROP till pass LFDL FM for not inducing any Losses and Later they will Push for more ROP</t>
  </si>
  <si>
    <t>@ 8980" MD Observed increase in Active Pit Volume, later dramatic drop while Drill off</t>
  </si>
  <si>
    <t>PU Off BTM and Perform Flow check</t>
  </si>
  <si>
    <t>Contacted Rig Foreman for Clarification</t>
  </si>
  <si>
    <t>RRig Reply that is due to Performing Mud transfer and Pumping Sealing Pill</t>
  </si>
  <si>
    <t>Sameh Ahmed</t>
  </si>
  <si>
    <t>325 kiBF</t>
  </si>
  <si>
    <t>@ 8610 FT md, after POH 4 stands on Elv. , got over pull of 15 to 20 K</t>
  </si>
  <si>
    <t>Go down away from obstruction and follow Aramco Procedure</t>
  </si>
  <si>
    <t>Confirmed by RTOC team,</t>
  </si>
  <si>
    <t>At 8610' clear tight spots until slick and confirm free pass</t>
  </si>
  <si>
    <t>Optimization</t>
  </si>
  <si>
    <t>Tripping Speeds / Rig Operations / ILT Summary</t>
  </si>
  <si>
    <t>Tripping speed</t>
  </si>
  <si>
    <t>1800 ft/hr</t>
  </si>
  <si>
    <t>Observed potential improvent on tripping speeds, especially in cased hole, and identified 1.34 hrs in ILT</t>
  </si>
  <si>
    <t>Improve speeds in cased hole when operationally possible</t>
  </si>
  <si>
    <t>22" section</t>
  </si>
  <si>
    <t>ADM-505</t>
  </si>
  <si>
    <t>MRJN-2043</t>
  </si>
  <si>
    <t>8.5"</t>
  </si>
  <si>
    <t>ODD#1</t>
  </si>
  <si>
    <t>It was observed for 3 Connection were deviated from the Integrated Offshore Drilling Practices for the Connection Procedure</t>
  </si>
  <si>
    <t>We contacted Baker team and they acknowledged and confirmed that they will follow the recommended Practice as per Aramco guide lines.</t>
  </si>
  <si>
    <t>Confirmed by RTOC team</t>
  </si>
  <si>
    <t>confirmed following the recommended practice</t>
  </si>
  <si>
    <t>Cristian Guzgan</t>
  </si>
  <si>
    <t>ADC-34</t>
  </si>
  <si>
    <t>UTMN-3222</t>
  </si>
  <si>
    <t>Stuck pipe</t>
  </si>
  <si>
    <t>Stuckpipe Explainability</t>
  </si>
  <si>
    <t>Observed Overpull while POOH while POOH at 9765 ft MD, since that depth the Stuck prediction chart showing high tendency up to 86%</t>
  </si>
  <si>
    <t>folow ARAMCO Recommended TOH Practice</t>
  </si>
  <si>
    <t>Confirmed by RTOC team and emailed Rigsite</t>
  </si>
  <si>
    <t>Started Back reaming tight spot and Cont. POH</t>
  </si>
  <si>
    <t>At 8520 ft MD, same intervention was repeated</t>
  </si>
  <si>
    <t>At 6715 ft MD, same intervention was repeated</t>
  </si>
  <si>
    <t>Confirmed by RTOC team and sent email with Look ahead for problematic areas in this section</t>
  </si>
  <si>
    <t>Kshor Kshisagar</t>
  </si>
  <si>
    <t>At 5561 ft MD, same intervention was repeated</t>
  </si>
  <si>
    <t>Confirmed by RTOC and sent email with recommendations</t>
  </si>
  <si>
    <t>Work tight spot and Cont. POOH</t>
  </si>
  <si>
    <t>Alaa Alalawi</t>
  </si>
  <si>
    <t>@ 12333 ft MD observed increase in the PU drag indecating DH problem (hole cleaing, Diff. Sticking…)</t>
  </si>
  <si>
    <t>Recommended to enhance hole cleaning, decrease time steady with no Circ., review mud wt &amp; properties</t>
  </si>
  <si>
    <t>Omogbolahan Ahmed</t>
  </si>
  <si>
    <t>Hookload Broomstick Plot, Traces</t>
  </si>
  <si>
    <t>@ 71150 ft MD while POH for wiper trip observed increas in PU FF and HL PU WT while increaseing the tripping spped</t>
  </si>
  <si>
    <t>to decrease the speed while Pulling out, keep a close eye on HL reading to close monitor the string drag and avoid any sudden Pump shut down in case it was decided to Backream those intervals.</t>
  </si>
  <si>
    <t>recommendation were followed</t>
  </si>
  <si>
    <t>3 min/std</t>
  </si>
  <si>
    <t>2 min/std</t>
  </si>
  <si>
    <t>@ 7100 ft MD while POH for wiper trip observed increas in tripping spped</t>
  </si>
  <si>
    <t>To follow Aramco procedure</t>
  </si>
  <si>
    <t>Abdulwahab Mosaffer</t>
  </si>
  <si>
    <t>8.375"</t>
  </si>
  <si>
    <t>Hookload Broomstick Plot, Traces, SPR</t>
  </si>
  <si>
    <t>Alert generated by Corva of &gt;15 klbf overpull at 10428’ BD</t>
  </si>
  <si>
    <t>Any indication of a tight spot that exceeds the drag limit (=&lt;15 klbs overpull), move string down (Make up and RIH new stand) away from tight spot</t>
  </si>
  <si>
    <t>Overpull alert</t>
  </si>
  <si>
    <t>Alert generated by Corva of &gt;15 klbf overpull</t>
  </si>
  <si>
    <t>Ream down the last 2 stands and check the hole after each reaming by passing through without Pump&amp;RPM</t>
  </si>
  <si>
    <t>Adrian Adeniran</t>
  </si>
  <si>
    <t>4 min/std</t>
  </si>
  <si>
    <t>Running 7" Liner with 45 ft/min</t>
  </si>
  <si>
    <t>Cristian Alecu</t>
  </si>
  <si>
    <t>Parameters comparison, ROP &amp; MSE HeatMap, Well correlator</t>
  </si>
  <si>
    <t>Observed having same parameters for more than 4 stands without playing with it to find sweet spot</t>
  </si>
  <si>
    <t>Recommended to decrease WOB, based on offset well data and ROP&amp; MSE Heat map we could get more ROP inside HITH FM</t>
  </si>
  <si>
    <t>Had a call with Aramco foreman</t>
  </si>
  <si>
    <t>Just dropped WOB 10 KIbft for 10 min then increased it back again</t>
  </si>
  <si>
    <t>Traces, Overpull Alert</t>
  </si>
  <si>
    <t>Alert generated by Corva of &gt;15 klbf overpull at 6549’ BD / Nov 29, 04:19</t>
  </si>
  <si>
    <t>Any indication of a tight spot that exceeds the drag limit (=&lt;15 klbs overpull), move string down (Make up and RIH new stand) away from tight spot (Include Aramco's guidelines)</t>
  </si>
  <si>
    <t>Alert was communicated to RTOC, and acknowledged, an determined to be within acceptable range</t>
  </si>
  <si>
    <t>Alert generated by Corva of &gt;15 klbf overpull at 6361’ BD / Nov 29, 05:23</t>
  </si>
  <si>
    <t>As already 1 stand was backreamed in the previous overpull, better to backream 3 stands or stop to circulate before con't POOH on elevators</t>
  </si>
  <si>
    <t>Contacted Rig Foreman for and asked him to start backreaming</t>
  </si>
  <si>
    <t>Rig started backreaming as per RTOC advice</t>
  </si>
  <si>
    <t>At 5928 ft MD, had overpull of 15 KIbf</t>
  </si>
  <si>
    <t>Highlited the isser to RTOC Team and recommended to Follow Aramco Procedure when tight spot encounter</t>
  </si>
  <si>
    <t>that there was an erlier mail sent to Foreman highliting all the risk</t>
  </si>
  <si>
    <t>8 3/8"</t>
  </si>
  <si>
    <t>Automated Alert</t>
  </si>
  <si>
    <t>RPM</t>
  </si>
  <si>
    <t>static pipe detection Alert observed while performing survey</t>
  </si>
  <si>
    <t>contacted Baker crew and advised them to enhance the Survey time as possible and avoid being steady for long time.</t>
  </si>
  <si>
    <t>Baker Crew confirmed to follow recommendations</t>
  </si>
  <si>
    <t>6.125"</t>
  </si>
  <si>
    <t>Traces, Alert</t>
  </si>
  <si>
    <t>Time</t>
  </si>
  <si>
    <t>Observed Connection procedure deviated from the Integrated Offshore Drilling Practices for the Connection Procedure</t>
  </si>
  <si>
    <t>6 1/2"</t>
  </si>
  <si>
    <t>SHUT- IN Alert was triggered due to an increase in Casing pressure</t>
  </si>
  <si>
    <t>Follow Aramco Well Control protocol</t>
  </si>
  <si>
    <t>Confirmed by RTOC Team</t>
  </si>
  <si>
    <t>Well Control protocols</t>
  </si>
  <si>
    <t>We contacted RTOC, which in turn forwaded observation to rig, so they can follow the recommended Practices</t>
  </si>
  <si>
    <t>6 1/8"</t>
  </si>
  <si>
    <t>Confirmed by RTOC</t>
  </si>
  <si>
    <t>an Over Pull alert was triggered at 13405 ft MD while POH for reaming Run</t>
  </si>
  <si>
    <t>Recommended to slow down when passing the BHA from shoe.</t>
  </si>
  <si>
    <t>BHA is inside the Shoe now, still have risk of cutting accumulation within 7” liner , Drilled with lower annular velocity between and bigger annular clearance between 4” DP x 6.276” annulus</t>
  </si>
  <si>
    <t>Prabhat Shukla</t>
  </si>
  <si>
    <t>After Connection the Rig had Pump Issue, changed Pump and waited some stationary</t>
  </si>
  <si>
    <t>moves the string and avoid being stationary for Long time</t>
  </si>
  <si>
    <t>SHUT- IN Alert was triggered due to an increase in Casing pressure due to having Issue with MPD RCD Bearing</t>
  </si>
  <si>
    <t>Highlighted the Alert to RTOC team and confirmed with the Rig crew that it is due to fixing RCD Bearing</t>
  </si>
  <si>
    <t>Fixing MPD RCd BEaring</t>
  </si>
  <si>
    <t>Received an alert for high stuck probability while back reaming</t>
  </si>
  <si>
    <t>Follow Aramco guidelines for Back-reaming (added in the observation email)</t>
  </si>
  <si>
    <t>RTOC confirmed False Positive, due to slowing BH speed when close to stand-down, hence less drag (resistance)</t>
  </si>
  <si>
    <t>Look ahead</t>
  </si>
  <si>
    <t>traces, HL &amp; TQ Broomstick</t>
  </si>
  <si>
    <t>Had discussion with RTOC if it is required to perform wiper trip or not</t>
  </si>
  <si>
    <t>Recommended to Cont. drilling as there is no indecation that that the hole dictates wiper trip</t>
  </si>
  <si>
    <t>Confirmed by RTOC Team, and sent email to rig</t>
  </si>
  <si>
    <t>To cont. with the plan to perform wiper trip</t>
  </si>
  <si>
    <t>ADM-261</t>
  </si>
  <si>
    <t>MRJN-318</t>
  </si>
  <si>
    <t>NAOFWOD</t>
  </si>
  <si>
    <t>Surge &amp; Swab</t>
  </si>
  <si>
    <t>RTOC asked to share our Corva calculations to validate the 7" Liner run</t>
  </si>
  <si>
    <t>Submitted Surge and swab calculation based on the given data from RTOC</t>
  </si>
  <si>
    <t>7"</t>
  </si>
  <si>
    <t>kehinde Adesina</t>
  </si>
  <si>
    <t>Following up with the TOH trends the HL Broomstick, indicating a very smooth hole trends</t>
  </si>
  <si>
    <t>No Problem encountered while POH confirming our recommendations</t>
  </si>
  <si>
    <t>Traces, HL &amp; TQ Broomstick</t>
  </si>
  <si>
    <t>Following up with the TIH trends the HL Broomstick, indicating a very smooth hole trends</t>
  </si>
  <si>
    <t>No problem encountered while RIH, however upon discussing the decision to cancel WT, and looking at the live T&amp;D in Corva, RTOC concluded that we should've not cancel it</t>
  </si>
  <si>
    <t>RTOC concluded that we should've not cancel it, because there is increase in Ream In TQ while drilling</t>
  </si>
  <si>
    <t>Sameh Ahmed / Waseem</t>
  </si>
  <si>
    <t>Reporting</t>
  </si>
  <si>
    <t>Traces, Hookload Broomstick</t>
  </si>
  <si>
    <t>Sent a summary for the last TIH to bottom run with reaming assembly</t>
  </si>
  <si>
    <t>Surge &amp; Swab, Traces, Hookload Broomstick</t>
  </si>
  <si>
    <t>Sent Summary for the 7in Liner run</t>
  </si>
  <si>
    <t>Run was smooth and no Problem encountered</t>
  </si>
  <si>
    <t>Tripping Speeds / urge &amp; Swab, Traces, Hookload Broomstick</t>
  </si>
  <si>
    <t>Sent Summary for the 13 3/8" Casing run</t>
  </si>
  <si>
    <t>13 3/8"</t>
  </si>
  <si>
    <t>SPP</t>
  </si>
  <si>
    <t>Observed Stuck pipe alert, due to high overpull and tq caused by 01 pump down, no drill off time prior to pick up</t>
  </si>
  <si>
    <t>Obderve closely Hookload and TQ when pump go off to avoid stuck pipe</t>
  </si>
  <si>
    <t>Run was smooth and no problem encountered</t>
  </si>
  <si>
    <t>Sent a summary for the last POH to surface run with 12" reaming assembly</t>
  </si>
  <si>
    <t>Traces, Alert, SPP index</t>
  </si>
  <si>
    <t>I would like to inform in ADC-34 we have drilling string close to bottom and observed driller stopped string RPM, previously while rotating observed small TQ spikes,</t>
  </si>
  <si>
    <t>Since we have total loss we advise to minimize 
  Stationary time, keep string RPM whenever is possible. Stuck pipe Index increased during this time.</t>
  </si>
  <si>
    <t>Had received a Corva alert for an increasing Casing (choke) pressure up to 900 psi</t>
  </si>
  <si>
    <t>It has been discussed with RTOC, will confirm the cause once rig is contacted.</t>
  </si>
  <si>
    <t>Pressure has dropped back to zero</t>
  </si>
  <si>
    <t>Hamed Alshammari</t>
  </si>
  <si>
    <t>6-1/8"</t>
  </si>
  <si>
    <t>Rig Operations</t>
  </si>
  <si>
    <t>The total connection time in ADM-261 is a little bit long</t>
  </si>
  <si>
    <t>If you notice the well in good condition we may be able to space out the full back-ream every connection to every 3 or 5 connections and only 1 joint per connection in between.</t>
  </si>
  <si>
    <t>Overpull Alert</t>
  </si>
  <si>
    <t>an Over Pull alert was triggered at 9442' MD while POH w/ back reaming</t>
  </si>
  <si>
    <t>RTOC Leader recommended incorporating a “warning level” alert for below 15 klbf threshold.</t>
  </si>
  <si>
    <t>Confirmed following the recommended practice, Circulate</t>
  </si>
  <si>
    <t>Waseem Awan</t>
  </si>
  <si>
    <t>Drilling Parameter Optimization</t>
  </si>
  <si>
    <t>As per CORVA analysis drilling parameters can be optimized based statistical analysis of ROP heatmap and/or MSE heatmap</t>
  </si>
  <si>
    <t>RTOC informed they are now been conservative beacause last stuck problem</t>
  </si>
  <si>
    <t>NA</t>
  </si>
  <si>
    <t>Majeed</t>
  </si>
  <si>
    <t>Traces and Data monitoring</t>
  </si>
  <si>
    <t>Slowly SPP decreasing after connection,</t>
  </si>
  <si>
    <t>Informed RTOC to intervein and requested rig to check. (possible washout)</t>
  </si>
  <si>
    <t>RTOC informed rig to check, informed again about possible washout</t>
  </si>
  <si>
    <t>Changed Mud pumps - DE decided to POOH</t>
  </si>
  <si>
    <t>Rashid</t>
  </si>
  <si>
    <t>Stuckpipe Risk Alert</t>
  </si>
  <si>
    <t>&gt;65%</t>
  </si>
  <si>
    <t>High stuckpipe risk probability all the way since starting RIH w/ 9-5/8" casing, along w/ high drag indicator from Corva RT Display</t>
  </si>
  <si>
    <t>Once contacted RTOC turned to be False alarm, and rig running casing as normal (no recommendation given)</t>
  </si>
  <si>
    <t>RTOC Confirmed False Alarm</t>
  </si>
  <si>
    <t>Had received a Corva alert for an increasing Casing (choke) pressure up to 1500 psi, subsequently, SPR index was also high</t>
  </si>
  <si>
    <t>RTOC confirmed that it is due to testing the casing after displacing new 130 pcf mud</t>
  </si>
  <si>
    <t>No Action needed</t>
  </si>
  <si>
    <t>Abdulkarim Ghamdi/Suvesh</t>
  </si>
  <si>
    <t>Traces, SPR Alert</t>
  </si>
  <si>
    <t>Had received a Corva alert for high SPR probability, attributed to variable circulation (pump issue)</t>
  </si>
  <si>
    <t>Alert has been discussed with RTOC, as he’s already informed rig to consider if possible to pull to casing while pump issue resolved if expected to take a long time</t>
  </si>
  <si>
    <t>RTOC confirmed the risk, as high RPM and low/no circulation might damage the BHA</t>
  </si>
  <si>
    <t>Pump issues resolved in time to resume drilling</t>
  </si>
  <si>
    <t>Abdulkarim Ghamdi</t>
  </si>
  <si>
    <t>Observed last 2 connections overpull, hole tight</t>
  </si>
  <si>
    <t>Reccomended to change gas connections practices from vertical low risk to high risk</t>
  </si>
  <si>
    <t>The monitoring Engineer and I have reviewed and found it worthy to alert the rig crew to consider escalating their connection procedure to high-risk connection procedure.</t>
  </si>
  <si>
    <t>Ahmed, Omogbolahan S</t>
  </si>
  <si>
    <t>Traces, Hookload Broomstick, Alert Alarm</t>
  </si>
  <si>
    <t>Observed overpull while POOH</t>
  </si>
  <si>
    <t>Recommended to Max 20k overpull</t>
  </si>
  <si>
    <t>Thx Rodrigo for your help, communicated to Rfms.</t>
  </si>
  <si>
    <t>Not exceed 20k overpull</t>
  </si>
  <si>
    <t>Alshammari, Hamed M</t>
  </si>
  <si>
    <t>NBR-210</t>
  </si>
  <si>
    <t>FDHL_615</t>
  </si>
  <si>
    <t>Traces, Alerts</t>
  </si>
  <si>
    <t>Pit Volume</t>
  </si>
  <si>
    <t>Received alert for static pipe when contacted RTOC it was reported well control issue</t>
  </si>
  <si>
    <t>RTOC contacted RIG and was informed they had 1.5bbl gain, well control issue</t>
  </si>
  <si>
    <t>Peformed Flow check, all good back to drill</t>
  </si>
  <si>
    <t>ADM-507</t>
  </si>
  <si>
    <t>SFNY-987</t>
  </si>
  <si>
    <t>8-1/2"</t>
  </si>
  <si>
    <t>We had received an alert for high probability at the Stuckpipe index at subject well at 6640’ BD.</t>
  </si>
  <si>
    <t>Taking a look at the GR log of previous Drilling BHA, it is indicated from the GR log, at the specified BD we’re experiencing transition zone, not necessariblty caused by poor hole cleaning, to avoid excessive reaming</t>
  </si>
  <si>
    <t>RTOC confirmed the alert, however, since we're close to bottom, no additional action needed</t>
  </si>
  <si>
    <t>Rig aware of GR tranision zones from RTOC lookahead</t>
  </si>
  <si>
    <t>Rafat Showikhat</t>
  </si>
  <si>
    <t>SFNY</t>
  </si>
  <si>
    <t>Hookload Broomstick</t>
  </si>
  <si>
    <t>0.1 - 0.3 FF</t>
  </si>
  <si>
    <t>&gt; 0.5 FF</t>
  </si>
  <si>
    <t>Broomstick chart comparison for subject well at Total Depth/CP (12850’ MD) and subsequent Wiper Trip showing higher FF at the drilling drag model</t>
  </si>
  <si>
    <t>Monitoring the Trip to surface using the same model and alert RTOC for any observed abnormalities.</t>
  </si>
  <si>
    <t>8-3/8"</t>
  </si>
  <si>
    <t>RTOC confirmed the findings, and asked to be alerted of abnormalities when POOH</t>
  </si>
  <si>
    <t>ONO&amp;GDED</t>
  </si>
  <si>
    <t>NAOND&amp;WOD</t>
  </si>
  <si>
    <t>traces, HL Broomstick</t>
  </si>
  <si>
    <t>Observed after Pumping LCM and while POH to shoe, the driller is performing the POH with higher speed that recommended specially with the current situation of having total Losses.</t>
  </si>
  <si>
    <t>It is recommended to Follow Aramco Procedure for POH speed limit to avoid swap increase.</t>
  </si>
  <si>
    <t>RTOC (BKR) contacted Rig Foreman and requested to drop the POH speed</t>
  </si>
  <si>
    <t>Saeed Alzahrani</t>
  </si>
  <si>
    <t>ADC-130</t>
  </si>
  <si>
    <t>MRJN-863_2</t>
  </si>
  <si>
    <t>Traces, ROP and MSE Heat Map</t>
  </si>
  <si>
    <t>WOB</t>
  </si>
  <si>
    <t>Observed ROP optimization opportunity, since all BHA out of BOW</t>
  </si>
  <si>
    <t>Recommended to Increase WOB,FLOW and SRPM</t>
  </si>
  <si>
    <t>RTOC (BKR) contacted Rig Foreman and requested to optimize ROP</t>
  </si>
  <si>
    <t>Francisco De Lima</t>
  </si>
  <si>
    <t>traces</t>
  </si>
  <si>
    <t>Observed Rig crew not following Connection procedure</t>
  </si>
  <si>
    <t>To follow Aramco Procedures</t>
  </si>
  <si>
    <t>RTOC (BKR) contacted Rig Foreman a reminder for the connection procedure</t>
  </si>
  <si>
    <t>Confirmed to follow recommendation AFTER HAVING 60 DEG Incl.</t>
  </si>
  <si>
    <t>0-5</t>
  </si>
  <si>
    <t>observed some tight hole while Run in and passing the BHA from 13390 ft MD till 13488 ft MD</t>
  </si>
  <si>
    <t>recommended to have the RSS ribs opened and apply the same steering parameters used while drilling this interval in order to match and follow the original hole. Also it is advisable to close monitor the NBI and compare it with original besides applying the minimum drilling parameters while passing those intervals with max TQ not more than 8 Kft.Ibf</t>
  </si>
  <si>
    <t>RTOC (BKR) contacted Rig Foreman</t>
  </si>
  <si>
    <t>traces &amp; HL Broomstick</t>
  </si>
  <si>
    <t>Observed having tight hole while run 7 in liner, an Alert was triggered showing stuck pipe probability risk due to High Breakover HL peak.</t>
  </si>
  <si>
    <t>It is recommended to start up the pump and try to wash down this interval.</t>
  </si>
  <si>
    <t>Confirmed by RTOC Team and emailed Rig Foreman</t>
  </si>
  <si>
    <t>We observed a progressive +/- 20k overpull while washing up.</t>
  </si>
  <si>
    <t>Consider to keep working string until weights back to normal.</t>
  </si>
  <si>
    <t>FDHL</t>
  </si>
  <si>
    <t>we observed overpull while POH due to losses.</t>
  </si>
  <si>
    <t>Consider connect TD and clear the area.</t>
  </si>
  <si>
    <t>This is just to highlight after spot 100bbl LCM it was observed tripping out weight increased 20k. Friction Factor possible increase after LCM treatment.</t>
  </si>
  <si>
    <t>Be aware of hole conditions are worsening and stuck pipe</t>
  </si>
  <si>
    <t>Observed shakers full of bridging material</t>
  </si>
  <si>
    <t>It was observed High running speed reach 2 min per stand.
  Later after this intervention, got another tight spot and had to DLK and Open Ribs and Cont. Ream down</t>
  </si>
  <si>
    <t>It is recommended to follow Aramco RIH standard procedure while TIH max 3 min per stand.</t>
  </si>
  <si>
    <t>Connection</t>
  </si>
  <si>
    <t>Connection time</t>
  </si>
  <si>
    <t>Highlight that the Rig crew need to be more cautious and try to optimize the connection time as possible to avoid being stationary</t>
  </si>
  <si>
    <t>It was observed that the Drill string got stall at 10 K while having the OFF BTM normal TQ around 6-8 K</t>
  </si>
  <si>
    <t>recommended to re evaluate the TDS TQ limit or decrease the Reaming down speed to avoid string stall.</t>
  </si>
  <si>
    <t>ECD</t>
  </si>
  <si>
    <t>Just to inform from 15123ft it was observed loss rate increase and 1PCF ECD drop.</t>
  </si>
  <si>
    <t>Monitor closely and observe trend tendency</t>
  </si>
  <si>
    <t>Confirmed to monitor closely</t>
  </si>
  <si>
    <t>Observed Abnormal increase in SPP inside Csg</t>
  </si>
  <si>
    <t>clarify the rig OPS if possible</t>
  </si>
  <si>
    <t>rig was attempting to close the PBL with no success</t>
  </si>
  <si>
    <t>SFNY-987_2</t>
  </si>
  <si>
    <t>WOED</t>
  </si>
  <si>
    <t>Traces Alarm</t>
  </si>
  <si>
    <t>We observed one more time 400 psi increase in the SPP, first time possible nozzle plugged,</t>
  </si>
  <si>
    <t>keep monitoring closely.</t>
  </si>
  <si>
    <t>At 15710 ft MD, Observed Severe Losses with drop on pressure and ECD.</t>
  </si>
  <si>
    <t>Recommended to perform flow check and don’t go for Connection and assist situation if pumping LCM is required at least 30 ft – 1 stand OFF BTM from Loss zone depth.</t>
  </si>
  <si>
    <t>Rig is performing only one single W/R instead of Full stand.</t>
  </si>
  <si>
    <t>perform Full stand and Follow Aramco Drilling Practices V5 connection practice</t>
  </si>
  <si>
    <t>Confirmed by RTOC and contacted Rig</t>
  </si>
  <si>
    <t>Khalid Subai</t>
  </si>
  <si>
    <t>It was observed High speed while POH after pumping LCM at BTM</t>
  </si>
  <si>
    <t>is recommended to Slow down the tripping speed and close monitor drag while POH since it is showing increase in friction.If more drag observed, we recommend to Pump out these interval or back ream if hole dictated till passing then Circ. Above Loss / LCM pill area prior cont. POH .</t>
  </si>
  <si>
    <t>Alert, traces</t>
  </si>
  <si>
    <t>Observed Bad connection from night crew that icreased the S-S time</t>
  </si>
  <si>
    <t>Optemize the connection time</t>
  </si>
  <si>
    <t>Confirmed by RTOC and asked to keep watching if repeted again they will contact the rig</t>
  </si>
  <si>
    <t>ADM-337</t>
  </si>
  <si>
    <t>SFNY-644_0</t>
  </si>
  <si>
    <t>12 1/4"</t>
  </si>
  <si>
    <t>OOD#2</t>
  </si>
  <si>
    <t>GD&amp;WOED</t>
  </si>
  <si>
    <t>Observed Rig Applying 140 SRPM while Circ. Prior POH for wiper trip to shoe.</t>
  </si>
  <si>
    <t>Recommended to follow Aramco Proceduremax 120 SRPM while RU/RD.</t>
  </si>
  <si>
    <t>12.25"</t>
  </si>
  <si>
    <t>Observed Rig Applying 147 SRPM while Circ. Prior POH for wiper trip to shoe.</t>
  </si>
  <si>
    <t>RTOC contacted Rig Foreman</t>
  </si>
  <si>
    <t>Yami, Ibrahim A</t>
  </si>
  <si>
    <t>traces, Alerts</t>
  </si>
  <si>
    <t>Obeserved overpull while P/U from slips, while RIH C/O Assy</t>
  </si>
  <si>
    <t>Informed RTOC to</t>
  </si>
  <si>
    <t>RTOC (BKR) contacted Rig Foreman , Escalated to DE and Rig Sup</t>
  </si>
  <si>
    <t>Observed String Stall while Reaming in.</t>
  </si>
  <si>
    <t>Recommended to reevaluate TDS TQ limit and increase Flow rate for better hole cleaning.Work this stand up and down, Circ. To clean all friction around BHA prior MU new stand.</t>
  </si>
  <si>
    <t>Agreed to Stop and Circ. Then will assest the situation based on hole condetion with Lossess</t>
  </si>
  <si>
    <t>Jason Tikasingh</t>
  </si>
  <si>
    <t>Observed Rig driller is POH after Pumping LCM on Elev. Without Flow, had High Over pull.</t>
  </si>
  <si>
    <t>Recommended to Pump out at least first 3 stands, and if observed OP, we recommend Back ream this high risk interval.</t>
  </si>
  <si>
    <t>TQ</t>
  </si>
  <si>
    <t>Observed while Backreaming current stand a drop in flow rate followed by increase in TQ from 8 to 15 Kft.Ibf</t>
  </si>
  <si>
    <t>recommended to go down and decrease the RPM to 60 till stabilizing the flow back to normal then try again.</t>
  </si>
  <si>
    <t>ADM-686</t>
  </si>
  <si>
    <t>MRJN-627</t>
  </si>
  <si>
    <t>O&amp;EDED</t>
  </si>
  <si>
    <t>Team this is to highlight we had one alert for erratic torque in the subjected job.</t>
  </si>
  <si>
    <t>Control WOB, Specially care since big size BHA</t>
  </si>
  <si>
    <t>Acknowledged</t>
  </si>
  <si>
    <t>HKLD</t>
  </si>
  <si>
    <t>Just to inform system has detected many overpull at current stand.</t>
  </si>
  <si>
    <t>Go down Clear the yight spot</t>
  </si>
  <si>
    <t>He observed tight spot was worked and thanked for Alert</t>
  </si>
  <si>
    <t>Edwin</t>
  </si>
  <si>
    <t>Observed OP @ 15707 ft MD triggered stuck pipe risk after performing extended Flow check.</t>
  </si>
  <si>
    <t>to rotate string while moving up and down to avoid stuck</t>
  </si>
  <si>
    <t>traces, alerts</t>
  </si>
  <si>
    <t>time</t>
  </si>
  <si>
    <t>Observed Rig went directly for Connection without any checking string freeing or the slips area</t>
  </si>
  <si>
    <t>To check and cofirm that the string is free before makeup new connection</t>
  </si>
  <si>
    <t>Observed String stall with indication of Pack off when TQ increased to 14 ft-KIbf.</t>
  </si>
  <si>
    <t>pump Sweep and revaluate TDS Tq limit</t>
  </si>
  <si>
    <t>Observed around 950 psi Pressure drop while drilling with Mud cap.</t>
  </si>
  <si>
    <t>Check all Rig Pumps, take extra care prior go for connection, and try to control ROP</t>
  </si>
  <si>
    <t>Traces, Alarm</t>
  </si>
  <si>
    <t>Flow back</t>
  </si>
  <si>
    <t>Observed losses while drilling and evolved to total loss</t>
  </si>
  <si>
    <t>Informed RTOC</t>
  </si>
  <si>
    <t>Active pit</t>
  </si>
  <si>
    <t>We are not sure in what tank the well is returning, but from our graphs we observed approximately 7bbl in last 1hr of flow check.</t>
  </si>
  <si>
    <t>Informed RTOC and RTOC team Leader</t>
  </si>
  <si>
    <t>while RIH an Overpull alert was triggered after indicating tight spot with an increase in SO.</t>
  </si>
  <si>
    <t>Wash and Ream through interval at controlled speed</t>
  </si>
  <si>
    <t>while POH observed High SO very close to the same tight spot observed while RIH @ 5030 ft MD, But currently the top stab is hanging at that same depth. And Later had the same issue while Passing the Bit</t>
  </si>
  <si>
    <t>Wash and Ream through interval at controlled speed to smooth it futher</t>
  </si>
  <si>
    <t>replied back that they will perform reaming run after</t>
  </si>
  <si>
    <t>The system has alarmed for overpull at 2560ft, already passed.</t>
  </si>
  <si>
    <t>extra care since CSG shoe is coming next.</t>
  </si>
  <si>
    <t>5.875"</t>
  </si>
  <si>
    <t>Tripping Speed</t>
  </si>
  <si>
    <t>block speed</t>
  </si>
  <si>
    <t>As per below chart RIH in cased hole was performed 2100ft/h = 23 stds/h
  And now POOH in CSG hole is 1842 ft/h = 19.8 stds/h</t>
  </si>
  <si>
    <t>Possibility of increase trip speed</t>
  </si>
  <si>
    <t>5.785"</t>
  </si>
  <si>
    <t>WFD RTOC acknowledged</t>
  </si>
  <si>
    <t>Redha</t>
  </si>
  <si>
    <t>ADES-14</t>
  </si>
  <si>
    <t>HRDH-1473_2</t>
  </si>
  <si>
    <t>SAOWOD</t>
  </si>
  <si>
    <t>Alert was triggered after SHUT-IN well due to well instability and a stuck pipe incident has high probability is such condition.</t>
  </si>
  <si>
    <t>Well Control…</t>
  </si>
  <si>
    <t>System alerted for stuck pipe risk while RIH 13.375in @ 5080ft CSG, best regards</t>
  </si>
  <si>
    <t>Overpull observed while RIH with Csg each time the Driller PU Csg from slips, beside running Csg with 45 ft per min which is higher than recommended</t>
  </si>
  <si>
    <t>to take extra cousion and try to stop and Circ. To reduce friction</t>
  </si>
  <si>
    <t>9 5/8"</t>
  </si>
  <si>
    <t>No action taken</t>
  </si>
  <si>
    <t>Observed Last 3 stands we still have an overpull and increase in the PU weight FF.</t>
  </si>
  <si>
    <t>Recommended to Run Back to BTM and Circ. More or even re evaluate the Mud weight</t>
  </si>
  <si>
    <t>After going 1 stand below and Circ. While cont. POH again it was observed around 20 K OP</t>
  </si>
  <si>
    <t>Recommended to work string BR/RD till smoothing those intervals then Circ. To remove all cutting around BHA</t>
  </si>
  <si>
    <t>To ream and work reaming Assymbly out across these interval toi smooth it completely</t>
  </si>
  <si>
    <t>After open the well observed string stuck</t>
  </si>
  <si>
    <t>System alerted for stuck pipe risk while reaing down with C/O assy</t>
  </si>
  <si>
    <t>System alerted for overpull, tight spot at 6450ft.</t>
  </si>
  <si>
    <t>Work the interval</t>
  </si>
  <si>
    <t>ADC-131</t>
  </si>
  <si>
    <t>MRJN-863_3</t>
  </si>
  <si>
    <t>ODD#3</t>
  </si>
  <si>
    <t>While RIH during wiper trip system alerted tight spot at 8679ft.</t>
  </si>
  <si>
    <t>an overpull alert was triggered at 7379 ft MD.</t>
  </si>
  <si>
    <t>recommended to start Pump and work string out these interval and avoid pushing string to pass through it</t>
  </si>
  <si>
    <t>yes</t>
  </si>
  <si>
    <t>an overpull alert was triggered at 7334 ft MD.</t>
  </si>
  <si>
    <t>Just started Pump out and not following aramco Recommended practice</t>
  </si>
  <si>
    <t>Alert, Trip sheet</t>
  </si>
  <si>
    <t>TTK</t>
  </si>
  <si>
    <t>System has identified a positive displacement trend into TTK 01 while Trip Out of Hole.</t>
  </si>
  <si>
    <t>If return only in TTK 01 evaluate a possibility of flow check</t>
  </si>
  <si>
    <t>Flow checked</t>
  </si>
  <si>
    <t>SND-2018</t>
  </si>
  <si>
    <t>HRDH-2490_0</t>
  </si>
  <si>
    <t>NGGD</t>
  </si>
  <si>
    <t>Pres</t>
  </si>
  <si>
    <t>At 1100 ft MD observed alert for SHUT-IN and increase in Csg pressure</t>
  </si>
  <si>
    <t>check Rig OPS</t>
  </si>
  <si>
    <t>Confirmed by RTOC Team and called Rig</t>
  </si>
  <si>
    <t>yes and confirmed Shock manifold PT</t>
  </si>
  <si>
    <t>FDHL_615_4</t>
  </si>
  <si>
    <t>ECD Alert and Traces</t>
  </si>
  <si>
    <t>Team we observed ECD alert at 86.5 PCF and pressure slowly increasing. From 2200psi to 2400 psi, predicted 2070psi.</t>
  </si>
  <si>
    <t>Informed RTOC about risk, especially it historical of losses</t>
  </si>
  <si>
    <t>Communicated to Foreman</t>
  </si>
  <si>
    <t>They continued drilling</t>
  </si>
  <si>
    <t>Alert and traces</t>
  </si>
  <si>
    <t>Flow out</t>
  </si>
  <si>
    <t>We observed pressure drop and flow out drop, indicating losses while going to total loss.</t>
  </si>
  <si>
    <t>Stop drill to pump LCM</t>
  </si>
  <si>
    <t>observed alert for SHUT-IN and increase in Csg pressure from time to time</t>
  </si>
  <si>
    <t>Most likely the rig have problem with Csg pressure sensor</t>
  </si>
  <si>
    <t>Confirmed having a problem with Rig Csg Press. sensor</t>
  </si>
  <si>
    <t>SND-2016</t>
  </si>
  <si>
    <t>HRDH-2495_0</t>
  </si>
  <si>
    <t>observed a lot of micro string stalls indicating reaching the limit of TDS TQ with 15-18 KIbft.</t>
  </si>
  <si>
    <t>re evaluate TDS TQ Limit</t>
  </si>
  <si>
    <t>Confirmed by RTOC Team , But asked to weight more and observe since we are in the beginning of rthe section</t>
  </si>
  <si>
    <t>no feed back</t>
  </si>
  <si>
    <t>rashed almutairi</t>
  </si>
  <si>
    <t>Observed erratic torque, high drilling dysfunctions while drilling, specially in different layers</t>
  </si>
  <si>
    <t>Reduce WOB, and control drilling dynamics</t>
  </si>
  <si>
    <t>Confirmed by Aramco RTOC</t>
  </si>
  <si>
    <t>Pressure</t>
  </si>
  <si>
    <t>Observed a pressure drop while drilling</t>
  </si>
  <si>
    <t>Pressure came back to normal after 5 min</t>
  </si>
  <si>
    <t>Pressure went back to normal</t>
  </si>
  <si>
    <t>Revaluate TDS TQ Limit and optemize drilling parameters</t>
  </si>
  <si>
    <t>Observed High Erratic TQ combined with Micro String stall with the current drilling parameters and TDS TQ limit.</t>
  </si>
  <si>
    <t>5144 ft MD while Running 13 3/8” Csg with Reamer shoe. (14K )</t>
  </si>
  <si>
    <t>Recommended to establish Rotation &amp; Flow to pass this tight spot</t>
  </si>
  <si>
    <t>observed High erratic TQ along with multiple micro string stall as shown below indicating High SSlip values reaching the limit of TDS TQ with 15-18 KIbft.. From Planned Prognoses we are inside ARAB FM passing through it members and bout to enter ARBR.</t>
  </si>
  <si>
    <t>Observed High Erratic TQ combined with Micro String stall with the current drilling parameters and TDS TQ limit.Susbect Hole Packoff</t>
  </si>
  <si>
    <t>Revaluate TDS TQ Limit and optemize drilling parameters and sent ROP heat map along with MSE and Parameter comparison screenshot.recommended to stop drilling and Circ.</t>
  </si>
  <si>
    <t>Confirmed to follow recommendation to stop and Circ.</t>
  </si>
  <si>
    <t>Haif Alqahtani</t>
  </si>
  <si>
    <t>System alerted for overpull, tight spot at 7100 ft MD.</t>
  </si>
  <si>
    <t>System alerted for drag, tight spot at 8959 ft MD.</t>
  </si>
  <si>
    <t>Recommended to ream down</t>
  </si>
  <si>
    <t>HL Broomstick</t>
  </si>
  <si>
    <t>Sent Wiper trip summary for HL Broomstick</t>
  </si>
  <si>
    <t>Recommended to run 7" liner with reamer shoe to avoid Csg stuck or NPT for POH with liner and rerun another reaming run</t>
  </si>
  <si>
    <t>RTOC (BKR) contacted DE</t>
  </si>
  <si>
    <t>observed a lot of micro string stalls indicating reaching the limit of TDS TQ</t>
  </si>
  <si>
    <t>from ROP change it looks like there is a change in the FM being drilled and the Drilling Parameters need to be revaluated.</t>
  </si>
  <si>
    <t>Confirmed by RTOC Team, and called rig Foreman</t>
  </si>
  <si>
    <t>Team we observed Flow out % increased</t>
  </si>
  <si>
    <t>Informed RTOC to check with rig in case flow check required to be performed</t>
  </si>
  <si>
    <t>Mud volume transfer from reserve to active to compensate for losses</t>
  </si>
  <si>
    <t>Alerts</t>
  </si>
  <si>
    <t>HKLD, TQ</t>
  </si>
  <si>
    <t>System has identified high overpull and break out tq.</t>
  </si>
  <si>
    <t>RTOC contacted RIG</t>
  </si>
  <si>
    <t>Circulate More</t>
  </si>
  <si>
    <t>While RIN 7in Liner observed drag at 7330ft, informed RTOP</t>
  </si>
  <si>
    <t>Take extra care and if need since they have reamer shoe, ream down tight spot</t>
  </si>
  <si>
    <t>I contacted rig foreman and informed about a genuine tight spot with slack-off at 15 – 20Klbs while attempting to move down at mentioned depth. He agreed and already moved string up and away the tight area to M/U TDS and circulate, proceeding by washing down.</t>
  </si>
  <si>
    <t>He agreed and already moved string up and away the tight area to M/U TDS and circulate, proceeding by washing down</t>
  </si>
  <si>
    <t>High SO was observed followed with high OP</t>
  </si>
  <si>
    <t>Washdon the Liner with reamer to BTM</t>
  </si>
  <si>
    <t>RTOC (BKR) contacted Rig Foreman &amp; DE</t>
  </si>
  <si>
    <t>OP Alert was triggered while TOH as shown below, when trying to POH on Elevator.</t>
  </si>
  <si>
    <t>To BR all tight intervals</t>
  </si>
  <si>
    <t>High TQ and string Micro stalls were observed while BR TOH</t>
  </si>
  <si>
    <t>Decrease the tripping speed while BR</t>
  </si>
  <si>
    <t>an indication of severe Losses observed</t>
  </si>
  <si>
    <t>Stop drilling and assesst situation</t>
  </si>
  <si>
    <t>OP Alert was triggered while TOH as shown below, when trying to POH on Elevator followed by going Directly started Pump and go for BR.</t>
  </si>
  <si>
    <t>To BR all tight intervals, and follow aramco recommendation to go down away from tight spot</t>
  </si>
  <si>
    <t>No feed back from Rig</t>
  </si>
  <si>
    <t>observed High erratic TQ along with micro string stall and increase in SPP as shown below</t>
  </si>
  <si>
    <t>Drill off, PU OFF BTM and release string TQ, Restart drilling with better parameters</t>
  </si>
  <si>
    <t>still observing High SO followed by OP while Running dry without Flow or Rotation.</t>
  </si>
  <si>
    <t>SND-3003</t>
  </si>
  <si>
    <t>HRDH-5005_0</t>
  </si>
  <si>
    <t>28"</t>
  </si>
  <si>
    <t>Observed Drop in SPP with same Flow rate, indicating Sever Losses.</t>
  </si>
  <si>
    <t>optemize the drilling parameters and take extra coution in Connection besides controlling ROP</t>
  </si>
  <si>
    <t>observed High erratic TQ &amp; String Stalls with current BR parameters and speed. That need to be Reevaluated</t>
  </si>
  <si>
    <t>Rashed almutairi</t>
  </si>
  <si>
    <t>ILT, KPIs, Rig Operation</t>
  </si>
  <si>
    <t>KPI</t>
  </si>
  <si>
    <t>sent Summary for tripping ILT and tripping speed</t>
  </si>
  <si>
    <t>Highlighting the time can be saved while triping out inside Casing</t>
  </si>
  <si>
    <t>HKLD, Boomstick</t>
  </si>
  <si>
    <t>This is the second stand after pump LCM drilled and a trend of increase weight while wash up is observed.</t>
  </si>
  <si>
    <t>Recommend to extra care before next connection or extra circulation.</t>
  </si>
  <si>
    <t>System has identified OP at 5779ft, while attempt top POOH.</t>
  </si>
  <si>
    <t>Cont. Backreaming</t>
  </si>
  <si>
    <t>Adesina, Kehinde S</t>
  </si>
  <si>
    <t>Tripping Speeds</t>
  </si>
  <si>
    <t>Break down 7in liner tripping times to benchmark performance for future well</t>
  </si>
  <si>
    <t>Identified Slow connection while making 7in liner</t>
  </si>
  <si>
    <t>RTOC acknoledged</t>
  </si>
  <si>
    <t>NO</t>
  </si>
  <si>
    <t>Stuck Pipe Prediction</t>
  </si>
  <si>
    <t>System has alarm for an increase in the SP index</t>
  </si>
  <si>
    <t>Back ream interval</t>
  </si>
  <si>
    <t>observed High erratic TQ along with an automated alert for Drilling TQ increasing by 10%</t>
  </si>
  <si>
    <t>WOB change along the same interval, the alerts has been deemed a “false” positive</t>
  </si>
  <si>
    <t>sent Summary for POOH ILT and tripping speed</t>
  </si>
  <si>
    <t>KPIs were highlighted for Forman</t>
  </si>
  <si>
    <t>SND-2023</t>
  </si>
  <si>
    <t>HRDH-2617_0</t>
  </si>
  <si>
    <t>SAOGDD</t>
  </si>
  <si>
    <t>while Running 7in Liner observed increase in the OP at 13495 ft MD.</t>
  </si>
  <si>
    <t>washed down the joint to bottom.</t>
  </si>
  <si>
    <t>SND-2015</t>
  </si>
  <si>
    <t>HRDH-2680_0</t>
  </si>
  <si>
    <t>5-7/8"</t>
  </si>
  <si>
    <t>&lt;50%</t>
  </si>
  <si>
    <t>&gt;50%</t>
  </si>
  <si>
    <t>We had received an alert show below for drilling break (&gt;50% increase in ROP)</t>
  </si>
  <si>
    <t>Check for lithology change and parameters used</t>
  </si>
  <si>
    <t>Given the relatively low ROP for the stand as whole, the change is not significant, so alert to be dismissed</t>
  </si>
  <si>
    <t>HKLD, Alert</t>
  </si>
  <si>
    <t>We had received an alert for overpull &gt; 15 klbf at subject well</t>
  </si>
  <si>
    <t>Attributed to Breakover drag, rather than an overpull event</t>
  </si>
  <si>
    <t>TQ, Alert</t>
  </si>
  <si>
    <t>We had received an alert for overpull &gt; 15 klbf at subject well while backreaming along TQ Stall</t>
  </si>
  <si>
    <t>Recommend to follow Aramco guidelines on B/R Operation</t>
  </si>
  <si>
    <t>Discussed with BKR RTOC he validated alert and contacted Forman</t>
  </si>
  <si>
    <t>Rig following the guidelines as advised</t>
  </si>
  <si>
    <t>SND-2012</t>
  </si>
  <si>
    <t>HRDH-2645</t>
  </si>
  <si>
    <t>All</t>
  </si>
  <si>
    <t>Rig Operation</t>
  </si>
  <si>
    <t>RTOC requested breakdown for Connection times (Slips-To-Slips)</t>
  </si>
  <si>
    <t>Screenshots/excel exports has been provided showing KPIs and Goals</t>
  </si>
  <si>
    <t>KPIs were highlighted by Shift Lead to RTOC Engingeers</t>
  </si>
  <si>
    <t>Rashed A./Farag</t>
  </si>
  <si>
    <t>micro string stalls was observed with the increase in the tripping speed cupelled with high TQ as seeing below</t>
  </si>
  <si>
    <t>increase RPM along with decreasing tripping out speed</t>
  </si>
  <si>
    <t>observed that we are passing across High GR intervals with some micro tight spots observed</t>
  </si>
  <si>
    <t>Recommended to ream down those intervals .</t>
  </si>
  <si>
    <t>5 7/8"</t>
  </si>
  <si>
    <t>DE Confirmed and directly called the rig Foreman</t>
  </si>
  <si>
    <t>jonathan Uwe</t>
  </si>
  <si>
    <t>SND-2013</t>
  </si>
  <si>
    <t>HRDH-2601_0</t>
  </si>
  <si>
    <t>last connection performed was not following the Low risk or the high Risk wells (From MDTH/HITH to TD) as shown Below</t>
  </si>
  <si>
    <t>Recommended to follow recommended procedure</t>
  </si>
  <si>
    <t>observed an increase in SPP with 400 psi</t>
  </si>
  <si>
    <t>recommended to pump sweep as it may be bit nozzel plugged</t>
  </si>
  <si>
    <t>Observed Micro string stalls</t>
  </si>
  <si>
    <t>recommended to optimum parameters to use</t>
  </si>
  <si>
    <t>asked to monitor one more stand</t>
  </si>
  <si>
    <t>since we started drilling the SPP keeps on dropping from 2880 psi till reached now 2620 psi with the same flow rate</t>
  </si>
  <si>
    <t>recommended to call the rig foreman and check</t>
  </si>
  <si>
    <t>Rig Operation, Traces</t>
  </si>
  <si>
    <t>Observed the last connection at 5273’ has took longer than normal as rig has attempted to tag bottom once and reset (possible stall) before resume drilling</t>
  </si>
  <si>
    <t>Recommended to keep close of Goal KPI of 5 min</t>
  </si>
  <si>
    <t>Asked to monitor next connection to check if trend develops before contacting rig</t>
  </si>
  <si>
    <t>Once drilling stopped mid-stand DE contacted rig, and cofirmed it was due to Topdrive issue</t>
  </si>
  <si>
    <t>Abdullah Alzahrani</t>
  </si>
  <si>
    <t>Traces, Offset Comparison</t>
  </si>
  <si>
    <t>Observed drop in ROP following the fixing of Topdrive and resumed drilling</t>
  </si>
  <si>
    <t>Recommended to reset to the previous surface parameters prior to TD issue</t>
  </si>
  <si>
    <t>Discussed w/ RTOC, recommended to check for FM change, upon checking planned FM it appeared we're passing HITH, hence change in ROP</t>
  </si>
  <si>
    <t>Confirmed rig are indeed expected FM change</t>
  </si>
  <si>
    <t>Awotu Utunedi</t>
  </si>
  <si>
    <t>requested to apply high Risk wells (From MDTH/HITH to TD) since we are drilling in ARBD FM</t>
  </si>
  <si>
    <t>DE Confirmed and sent email to rig Foreman</t>
  </si>
  <si>
    <t>Pierre Aubry</t>
  </si>
  <si>
    <t>Traces, HL Broomstick</t>
  </si>
  <si>
    <t>P/U</t>
  </si>
  <si>
    <t>DE wanted to evaluate what is current weight sampled at connection to decide on hole condition</t>
  </si>
  <si>
    <t>Recommended to compare samples while drilling vs. POOH and make decision based on that, as so far we're trending parallel to model</t>
  </si>
  <si>
    <t>DE Confirmed and agreed with our recommendation</t>
  </si>
  <si>
    <t>No further action, current connnection practice is appropriate</t>
  </si>
  <si>
    <t>Jonathan Uwe</t>
  </si>
  <si>
    <t>It was noticed while rig switched between 2 pumps into 3 pumps at same FR, difference in SPP</t>
  </si>
  <si>
    <t>Contact rig to check surface lines and pumps before proceeding</t>
  </si>
  <si>
    <t>DE Confirmed and contacted forman</t>
  </si>
  <si>
    <t>Rig checked as advised and, confirmed pump issue</t>
  </si>
  <si>
    <t>We received an alert for static pipe (no circulation, pumps were down)</t>
  </si>
  <si>
    <t>Recommended to maintain pipe movement until restoring circulation</t>
  </si>
  <si>
    <t>Rig confirmed TD power issue, restored</t>
  </si>
  <si>
    <t>spending a lot of time troubleshooting with MWD in the same Place while moving up and down within 15 ft</t>
  </si>
  <si>
    <t>if the trouble shooting will take Longer to Rack Back the stand or W/R the string full stand.</t>
  </si>
  <si>
    <t>DE/ RTOC Confirmed and contacted forman</t>
  </si>
  <si>
    <t>stopped Troubleshooting and Circ. POH to change BHA</t>
  </si>
  <si>
    <t>The average TIH speed with Connection is 14 stand per hour, the KPI is 19 stand per hour</t>
  </si>
  <si>
    <t>Highlighted the time consumed in S2S and ILT for tripping speed inside Csg</t>
  </si>
  <si>
    <t>DE/ RTOC Confirmed</t>
  </si>
  <si>
    <t>Observed an a separating trend of Pickup weights sampled while drilling from the Corva model</t>
  </si>
  <si>
    <t>Recommended to check possibility of formation change or forming of an angle</t>
  </si>
  <si>
    <t>Both RDC &amp; RTOC validated observation, rig notified to monitor next stands</t>
  </si>
  <si>
    <t>As rig rig has circulated hole clean at 8000' to unload annulus cuttings, they will monitor the next few connections and check if trend goes back to normal</t>
  </si>
  <si>
    <t>Awotu Utunedi / Basem Eid</t>
  </si>
  <si>
    <t>Alert , Traces</t>
  </si>
  <si>
    <t>discussed along with RTOC team that the erratic TQ and drop in ROP beside the RPM micro change behavior might be related to entering new FM “ Minjur FM”.</t>
  </si>
  <si>
    <t>recommended to take extra caution for when reaching KD for Connection practice.</t>
  </si>
  <si>
    <t>DE/ RTOC Confirmed and emailed forman</t>
  </si>
  <si>
    <t>Cristian Alecu /Abdullah Alzahrani</t>
  </si>
  <si>
    <t>since we are drilling through UNAYZAH FM with expected high OB above 4000 PSI</t>
  </si>
  <si>
    <t>recommended to follow Aramco High Risk Connection Practice</t>
  </si>
  <si>
    <t>DE/ RTOC team Lead confirmed and contacted Rig foreman</t>
  </si>
  <si>
    <t>Pierre Aubry /Mohamed Farag</t>
  </si>
  <si>
    <t>Drag</t>
  </si>
  <si>
    <t>It was observed high drag while Trip in w/ new BHA at subject well at openhole, 7” liner shoe (at 14233’)</t>
  </si>
  <si>
    <t>Recommended to use min. DRGL FR for RSS (180 GPM) and 60-80 RPM, while keep eye for TQ and not exceeding 5klb drag as per Aramco procedure.</t>
  </si>
  <si>
    <t>DE cnfirmed and contacted forman to discuss</t>
  </si>
  <si>
    <t>Forman attributed the drag to formantion change and worked the spot and resume RIH</t>
  </si>
  <si>
    <t>Pierre Aubry/Mohamed Farag</t>
  </si>
  <si>
    <t>We had received an alert for pipe stationary in openhole w/ rotation</t>
  </si>
  <si>
    <t>Recommended to maintain pipe reciprocating whenever possible especially close to Kelly down</t>
  </si>
  <si>
    <t>DE confirmed and contacted Rig foreman</t>
  </si>
  <si>
    <t>Rig had TDS hydraulic hose leakage which is being fixed</t>
  </si>
  <si>
    <t>Awotu Utunedi/Waseem Awan</t>
  </si>
  <si>
    <t>Last Connection where performed with a deviation from the recommended one as shown below.</t>
  </si>
  <si>
    <t>DE/ RTOC team Lead confirmed and emailed Rig foreman</t>
  </si>
  <si>
    <t>Traces Log, HL Broomstick</t>
  </si>
  <si>
    <t>sent highlites for the Last TIH problems encountered as requested from DE</t>
  </si>
  <si>
    <t>recommended to observe the TOH after TD hole the open hole condetion and see if needed reaming run or not</t>
  </si>
  <si>
    <t>he agreed to proceed with the recommendation and based on it he will decide if we can skip the reaming run</t>
  </si>
  <si>
    <t>No action needed for the time being</t>
  </si>
  <si>
    <t>reporting</t>
  </si>
  <si>
    <t>Requested to send Look Ahead Prior POH to run Casing</t>
  </si>
  <si>
    <t>Send All intervals to be consederd for passing with coution along with Aramco recommendation for Tripping out</t>
  </si>
  <si>
    <t>MRJN-628</t>
  </si>
  <si>
    <t>traces, Alert</t>
  </si>
  <si>
    <t>Observed Drilling with High ROP after having complete Losses</t>
  </si>
  <si>
    <t>recommended to Control ROP and Take extra coution while Connection, beside taking SVY before connection</t>
  </si>
  <si>
    <t>working the string at least 2 times and will take survey 30 ft off bottom. He explained if there is any pack off tendency present he will Circulate for some time before survey &amp; connection.</t>
  </si>
  <si>
    <t>Traces, Broomstick</t>
  </si>
  <si>
    <t>overpull event occurred over the last connection due to insufficient drilloff time</t>
  </si>
  <si>
    <t>Recommended 5 minutes Drill Off. Work stand twice until consistent TQ before survey</t>
  </si>
  <si>
    <t>Foreman concured to follow, will check next connection</t>
  </si>
  <si>
    <t>Alert , Traces, HL Broomstick</t>
  </si>
  <si>
    <t>an overpull event occurred (25 klbf) while POH</t>
  </si>
  <si>
    <t>Please refer to the shared lookahead for the recommended practices while POH/Backreaming.</t>
  </si>
  <si>
    <t>DE contacted Rig Foreman to discuss</t>
  </si>
  <si>
    <t>Rig started circulation, and workthrough the tight spot</t>
  </si>
  <si>
    <t>Traces, CPL</t>
  </si>
  <si>
    <t>We had observed pressure drop alert at subject well (while flow out % remain consistent as expected since we’re drilling with losses), as seen below the separation of Actual SPP from Corva’s calculated SPP.</t>
  </si>
  <si>
    <t>Need to initially confirm with rig, if it is surface equipment related</t>
  </si>
  <si>
    <t>RTOC (BKR) contacted Rig Foreman to discuss</t>
  </si>
  <si>
    <t>No Action needed, rig confirmed that it was due to mixing in Active Tank.</t>
  </si>
  <si>
    <t>Observed tight spot while POH</t>
  </si>
  <si>
    <t>Follow Look ahead recommendation for TOH as per aramco procedure</t>
  </si>
  <si>
    <t>Foreman confirmed applying Light BR</t>
  </si>
  <si>
    <t>Sent an overall Summary for the TOH for Open hole highlighting all tight spots along with trip speed and Surge &amp; Swap simulations</t>
  </si>
  <si>
    <t>DE will review it and confirm for Running Csg directly or go with reaming Run</t>
  </si>
  <si>
    <t>Csg Pressure</t>
  </si>
  <si>
    <t>SHUT-IN alert trigered indicated and increase in Csg Pressure up to 835 PSI.</t>
  </si>
  <si>
    <t>To check with Forman</t>
  </si>
  <si>
    <t>cementer was testing his lines on the SPP manifold while the rig RIH with the RSS BHA on elevators</t>
  </si>
  <si>
    <t>Casing Pressure</t>
  </si>
  <si>
    <t>SHUT-IN alert trigered indicated and increase in Csg Pressure up to 620 psi</t>
  </si>
  <si>
    <t>To check with Forman for surface+J195:Q196-related equipment before proceeding</t>
  </si>
  <si>
    <t>RTOC (BKR) contacted Rig Foreman to check</t>
  </si>
  <si>
    <t>Rig confirmed it was FIT</t>
  </si>
  <si>
    <t>Parameter Comparison, ROP/MSE Crossplot</t>
  </si>
  <si>
    <t>&gt;15</t>
  </si>
  <si>
    <t>Compared to a near offset we had identified room for improvement of WOB, to achieve better ROP performance</t>
  </si>
  <si>
    <t>Recommended to advise rig on the best combination to use</t>
  </si>
  <si>
    <t>Jonathan (RDC) is in contact with rig</t>
  </si>
  <si>
    <t>Rig has increased WOB to 15 klbf</t>
  </si>
  <si>
    <t>Identified additional room for improvement for ROP Optimization</t>
  </si>
  <si>
    <t>Recommneded to allow 20 klbf WOB for a window of 45 mins and evaluate</t>
  </si>
  <si>
    <t>Jonathan has communicated to foreman (on separate email), if additional ROP gains, and work the WOB up to 20K</t>
  </si>
  <si>
    <t>Foreman copied recommendation, he will work with 18K WOB and evaluate TQ and shocks in MWD and will stage it up to 20k.</t>
  </si>
  <si>
    <t>tripping speed</t>
  </si>
  <si>
    <t>speed</t>
  </si>
  <si>
    <t>observed RIH with around 25 ft/min</t>
  </si>
  <si>
    <t>increase more in current intervals up to 50 ft/hr</t>
  </si>
  <si>
    <t>DE Called Rig Foreman asking to increase Speed</t>
  </si>
  <si>
    <t>Becouse of the Partial losses he refused for not inducing more losses</t>
  </si>
  <si>
    <t>SND-2014</t>
  </si>
  <si>
    <t>HRDH-2650_1</t>
  </si>
  <si>
    <t>&gt;10</t>
  </si>
  <si>
    <t>Observed ROP to be lower than expected, by comparing parameters, it was noticed RPM is lower than than of offset wells</t>
  </si>
  <si>
    <t>DE recommendation to rig was increasing RPM F/100 to 120 RPM</t>
  </si>
  <si>
    <t>DE called Rig foreman asking to increase RPM</t>
  </si>
  <si>
    <t>Foreman agreed to increase RPM but not now, as soon as lower Stab clear of BOW/RH</t>
  </si>
  <si>
    <t>Kindly note we had received an alert for static pipe where pipe stationary for prolonged period for subject well, while running the 9-5/8” Casing.</t>
  </si>
  <si>
    <t>Recommended to check w/ rig if mechanical/equipment issue.</t>
  </si>
  <si>
    <t>DE called Rig foreman to check is root cause</t>
  </si>
  <si>
    <t>Rig confirmed CRT has burst hydraulic hose, and they replace it while circulating</t>
  </si>
  <si>
    <t>Traces, T&amp;D Broomstick</t>
  </si>
  <si>
    <t>Sent look ahead Prior POH to 7" liner as approaching section TD at 17,441' MD</t>
  </si>
  <si>
    <t>Included High GR intervals log, and T&amp;D broomstick charts to be considered for passing with caution, along with recommendation for POH</t>
  </si>
  <si>
    <t>DE and myself has jointly composed the lookahead, and was sent from the DE email, and Corva Team email copied</t>
  </si>
  <si>
    <t>Observed ROP to be lower than expected (in Vertical), follow-up intervention on ROP performance</t>
  </si>
  <si>
    <t>DE made same recommendation of graually increasing WOB and assess</t>
  </si>
  <si>
    <t>DE called the Rig Foreman to share recommendation</t>
  </si>
  <si>
    <t>Foreman agreed to step-increase and check if ROP improved</t>
  </si>
  <si>
    <t>&lt;5</t>
  </si>
  <si>
    <t>Observed we’re taking weight up to 10klbf at 20 off-bottom, at subject well while running casing.</t>
  </si>
  <si>
    <t>Recommended to P/U 10-15 ft, reciprocate the string with controlled speed while circulating with low flow rate.</t>
  </si>
  <si>
    <t>DE called the Rig Foreman to discuss, and adviced this typically observed in MDTM-BJDM (where we did not perform wiper trip)</t>
  </si>
  <si>
    <t>Rig washed down and was attempting to reciprocate string through potential obstruction</t>
  </si>
  <si>
    <t>Observed first Connection performed deviated from Aramco recommendation</t>
  </si>
  <si>
    <t>Inforemed DE and asked to remind Foreman</t>
  </si>
  <si>
    <t>DE asked to let the first Conn. Pass and will monitor nect Conn.</t>
  </si>
  <si>
    <t>It was observed few times while drilling, rig is picking up off-bottom momentarily before resumes drilling again</t>
  </si>
  <si>
    <t>RTOC Team Lead came to question the root cause, as DE has been in contact with rig foreman</t>
  </si>
  <si>
    <t>DE confirmed it was to ensure BHA not hanging as passing the whipstock window</t>
  </si>
  <si>
    <t>No Action Needed</t>
  </si>
  <si>
    <t>Jonathan Uwe / Suvesh Kumar</t>
  </si>
  <si>
    <t>We’ve noticed a significant drop in the Corva-calculated bit aggressivity during the last drilled stand</t>
  </si>
  <si>
    <t>As a recommendation, it may be worthwhile to explore optimized parameters for the bit, if feasible, and conduct an assessment of the current bit’s longevity.</t>
  </si>
  <si>
    <t>DE contacted rig to to explore different paramters combination, also preprate to POH to change bit if were decided</t>
  </si>
  <si>
    <t>Rig has lowered RPM (105 &gt; 90) and WOB (22 &gt; 18) which improved ROP, also has requested a new bit as DE advised</t>
  </si>
  <si>
    <t>Highlight</t>
  </si>
  <si>
    <t>Successfully Run 7" Liner Directly after TD, No wiper Trip or Reaming Run saving much of Rig time</t>
  </si>
  <si>
    <t>Suggested to Observe the TOH and confirm Hole condition Based on HL Broomstick for String WT Behavior, Submitting Look ahead and Surge and swab simulation.Besides close monitored the Run Till Reached BTM (Even advised to encrease Running speed to go with doubled the speed they run with which could contribute in saving 1 joing per hr extra)</t>
  </si>
  <si>
    <t>Observed Lower ROP than expected, and a discussion to POH to change Bit</t>
  </si>
  <si>
    <t>Recommended to increase SRPM to 115 and observe if there will enhance the ROP more, if no indecation of ROP increase that might be related to Bit condetion</t>
  </si>
  <si>
    <t>connection</t>
  </si>
  <si>
    <t>Rig was not following Aramco guidelines for Connection practice</t>
  </si>
  <si>
    <t>Sent snap shot from Connection Criteria along with the recommended High Risk Connection practice.</t>
  </si>
  <si>
    <t>DE contacted Rig Foreman by mail</t>
  </si>
  <si>
    <t>To be confirmed next conn.</t>
  </si>
  <si>
    <t>Traces, HL&amp; Rot. TQ</t>
  </si>
  <si>
    <t>Observed increase in the Rot. TQ &amp; HL WT, went to speack with RTOC before sending email</t>
  </si>
  <si>
    <t>Notefied BKR RTOC that this indecation for Bad hole Cleaning</t>
  </si>
  <si>
    <t>He asked to cont. monitor next stand and he will Pump sweep if it cont. increased he will stop and Circ.</t>
  </si>
  <si>
    <t>observed 10 K SO Almost at the same interval we had obstruction while RIH with Drilling BHA</t>
  </si>
  <si>
    <t>Reaming this interval trying to smooth it out as possible. As the next Run will be WL</t>
  </si>
  <si>
    <t>Already the Rig Forman started reaming</t>
  </si>
  <si>
    <t>Rig started reaming the minor obstruction</t>
  </si>
  <si>
    <t>Awotu Ultunedi</t>
  </si>
  <si>
    <t>Observed an increase in BO HL Weight and BO OFF BTM TQ with new Connection</t>
  </si>
  <si>
    <t>Requested to perform 2 times W/R and check Slips Area before going to make new connection</t>
  </si>
  <si>
    <t>Foreman agreed to follow our recommendation</t>
  </si>
  <si>
    <t>Based on the GR log, we are currently passing through an intermittent zone where an effect on the SO weight has been observed over the last few stands</t>
  </si>
  <si>
    <t>The Rig Forman to ream the intervals upon passing highlighted zones</t>
  </si>
  <si>
    <t>Rig to ream the intervals upon passing any obstruction</t>
  </si>
  <si>
    <t>T&amp;D Broomstick</t>
  </si>
  <si>
    <t>Sent the Hookload broomstick chat snapshots below, also attached the CSV export</t>
  </si>
  <si>
    <t>Was sent in preparation for the Lookahead</t>
  </si>
  <si>
    <t>DE has included it in the Lookahead sent to rig</t>
  </si>
  <si>
    <t>Sent appending GR log from Corva, highlighting the High GR zones from SAIRO, which DE has provided</t>
  </si>
  <si>
    <t>Sent lookahead for POH to change bit at 14,803' MD</t>
  </si>
  <si>
    <t>The current performance is slightly below the Aramco target of 19 stands/hr. As of moment, over the past 5 stands, we've averaged approximately 17 stands/hr</t>
  </si>
  <si>
    <t>Recommended to follow Aramco target KPI</t>
  </si>
  <si>
    <t>DE advised to keep monitor over the next hour to confirm, as this is a new rig in the Field, 1 hr later, DE contacted rig as on a single stand they were able to reach 19.5 std/hr.</t>
  </si>
  <si>
    <t>Will increase once we are on 9-5/8” casing, as inside 7” liner avoids swab effect</t>
  </si>
  <si>
    <t>Observed fluctuating RPM values with bit 5 ft off bottom risking creating a ledge at high RPM of 115.</t>
  </si>
  <si>
    <t>RTOC Team Lead came to question the root cause, as DE has been in contact with rig foreman to check if rig is having TDS issue</t>
  </si>
  <si>
    <t>DE tried reaching foeman by phone to understand the issue, no reply, as most likely on RF (DE send observation from his email)</t>
  </si>
  <si>
    <t>Because they do downlink by RPM fluctuations now (It was pump fluctuating before).</t>
  </si>
  <si>
    <t>RPM has not returned to its previous levels since the downlinking process began. It appears this may be having a negative impact on ROP performance</t>
  </si>
  <si>
    <t>Recommended to review the current parameters with rig and assess if any adjustments are required to optimize performance</t>
  </si>
  <si>
    <t>RPM was reduced for steerability control as right now we are changing azimuth from the 4th to 1st quadrant as per the plan</t>
  </si>
  <si>
    <t>Following up with Intervention 210 we got Steady HL Weight after applying 2 x W/R prior Connection even after extending TD 500 ft</t>
  </si>
  <si>
    <t>keep same practice till TD</t>
  </si>
  <si>
    <t>Sent Summary for tripping tripping speed compared with KPI</t>
  </si>
  <si>
    <t>the rig is performing 22 std/hr ahead from Official KPI 19 std per hr</t>
  </si>
  <si>
    <t>Received an alert for overpull while TOH @ 14,099 &amp; 14014' BD</t>
  </si>
  <si>
    <t>Recommended to run back into free zone, and start circulation to unload annulus</t>
  </si>
  <si>
    <t>BKR RTOC contacted rig and instructed to run back in and Circ.</t>
  </si>
  <si>
    <t>Rig run back and circulate as needed</t>
  </si>
  <si>
    <t>Summary</t>
  </si>
  <si>
    <t>Sent a summary for tripping speed comparison with KPI</t>
  </si>
  <si>
    <t>The rig achieved 19 std/hr average meeting with KPI expectations, let’s continue and potentially exceed the KPI expectations moving forward</t>
  </si>
  <si>
    <t>N/A</t>
  </si>
  <si>
    <t>Discussed we can never be able to Slack down at this depth without rotation</t>
  </si>
  <si>
    <t>Recommended to try to POH on Elevator all the way unless the hole dictates to go with BR, then we can BR till pass the tight spot depth at 13980 ft MD, then CHC prior Cont. POH on Elevator and close monitor the HL trends.</t>
  </si>
  <si>
    <t>confirmed to follow recommendation</t>
  </si>
  <si>
    <t>DLK</t>
  </si>
  <si>
    <t>Observed DLK while BR Out off hole, and we had hole Pack off earlier</t>
  </si>
  <si>
    <t>Directly contacted RTOC and DD rig crew for not sending any DLK unless we are not able to Ream down</t>
  </si>
  <si>
    <t>had up to 8 K SO at the exact depth highlighted earlier @ 14333 ft Md</t>
  </si>
  <si>
    <t>the Max for the WL tools is 3-4 K Weight, recommended not force the WL Assy down any further</t>
  </si>
  <si>
    <t>confirmed to follow recommendation, POH to surface</t>
  </si>
  <si>
    <t>Follow-up for an overpull alert at same local interval (14049' BD) while TOH, later rig has experienced Packoff event which has been remadied</t>
  </si>
  <si>
    <t>Rig run back and circulate as needed, and pump high-weighted mud pills</t>
  </si>
  <si>
    <t>Observed slight pressure drop while drilling at 13597' MD</t>
  </si>
  <si>
    <t>DE called rig to check the root cause, as no other indication available</t>
  </si>
  <si>
    <t>Upon calling rig, Foreman confirmed it's due to RCD choke malfunctioned, rig closed well on RCD HCR and fixed the issue</t>
  </si>
  <si>
    <t>No Further Action Needed</t>
  </si>
  <si>
    <t>highlight the performance of the bit for the last 3 hrs was showing Lower ROP (almost half of the ROP) than the original well while applying the same Drilling parameters</t>
  </si>
  <si>
    <t>indicating that the bit condition needs to be revaluated since we are POH to change MPD</t>
  </si>
  <si>
    <t>Contacted Rig forman and agreed to change bit when reach Surface</t>
  </si>
  <si>
    <t>confirmed to follow recommendation to change bit at Surface</t>
  </si>
  <si>
    <t>Last Stand while BR there was and indication of hole pack-off, and the rig didn’t clear the cuttings around BHA by reaming down the stand before rack back resulted in increasing HL breakover weight that triggered OP Alert in corva.</t>
  </si>
  <si>
    <t>Recommended to Ream down same stand before PO again and rack back</t>
  </si>
  <si>
    <t>Traces, T&amp;D Broomstick, Surge &amp; Swab</t>
  </si>
  <si>
    <t>Sent a lookahead for POH due to TD (15,225' MD)</t>
  </si>
  <si>
    <t>Included High GR intervals log, and T&amp;D broomstick charts, Swab &amp; Surge simulation, to be considered for passing with caution, along with recommendation for POH</t>
  </si>
  <si>
    <t>DE included the Sairo High GR intervals and forwaded Lookahead to rig</t>
  </si>
  <si>
    <t>Foreman noted as lookahead received</t>
  </si>
  <si>
    <t>ILT &amp; Variance Summary</t>
  </si>
  <si>
    <t>Ammended a select of observations in an excel file with the ILT times and snapshots for a report requested by RTOC Management and to be prepared by Corva Team</t>
  </si>
  <si>
    <t>Included each hole section amount of lost/saved ILT for indiviual wells as respective intervention is listed in the file</t>
  </si>
  <si>
    <t>Mohammed Shafai</t>
  </si>
  <si>
    <t>GPM</t>
  </si>
  <si>
    <t>Rig attempted to POH on elevator while in openhole, however, it was not preferable due to hole condition</t>
  </si>
  <si>
    <t>Recommended to run back in, and circulate, to lift suspended cuttings, and resume to backream to shoe</t>
  </si>
  <si>
    <t>RTOC (BKR) send an intervention email to rig</t>
  </si>
  <si>
    <t>Rig confirmed to follow recommendation</t>
  </si>
  <si>
    <t>alert, traces</t>
  </si>
  <si>
    <t>OP Alert triggered when trying to PU new Stand on Elevator.</t>
  </si>
  <si>
    <t>the hole not in a good condition to POH on Elevator from depth 11557 ft MD and the HL has slight increase every stand pulled out. 
 Currently Rig established Flow and RPM and the string is a free position. Recommended to Follow Aramco TOH Procedures</t>
  </si>
  <si>
    <t>traces, HL, tripping speed</t>
  </si>
  <si>
    <t>TOH summary, showing a smooth hole, no indication of any hole problem</t>
  </si>
  <si>
    <t>Recommended to Go directly with the next OPS for WL Run ans sent screen shot for All data clarefing my recommendation</t>
  </si>
  <si>
    <t>5 7/8</t>
  </si>
  <si>
    <t>DE has contacted rig and W237:X237</t>
  </si>
  <si>
    <t>Obstruction at 14,312 ft while washing down with SLB Thru Bit Logging BHA</t>
  </si>
  <si>
    <t>Recommended to ream down.</t>
  </si>
  <si>
    <t>The current performance is slightly below the Aramco new target (for 2026) of 20 stands/hr.</t>
  </si>
  <si>
    <t>Recommended to maintain speed achieved over the last 3 stands Tripped ~20.5 stds/hr, in order to achieve the targeted average.</t>
  </si>
  <si>
    <t>DE forwarded the observation to rig</t>
  </si>
  <si>
    <t>Observed SPP erratic since upon starting drilling formation</t>
  </si>
  <si>
    <t>Recommended rig to check surface lines and attempt different pump combination, to eliminate issue on surface</t>
  </si>
  <si>
    <t>DE has contacted rig foreman to confirm</t>
  </si>
  <si>
    <t>Driller didn’t perform any Drill off, resulted in getting High TQ spick, finished the connection with 27 min instead of 25 min</t>
  </si>
  <si>
    <t>recommended connection practice</t>
  </si>
  <si>
    <t>He replied that driller performed drill off</t>
  </si>
  <si>
    <t>HRDH-2669_0</t>
  </si>
  <si>
    <t>We received an alert from Corva regarding a pressure drop following an increase in SPP</t>
  </si>
  <si>
    <t>It was recommended to inspect the surface lines, pumps, and related equipment at the rig</t>
  </si>
  <si>
    <t>DE has contacted rig foreman to check</t>
  </si>
  <si>
    <t>Pump had trapped air, which has now been purged and drilling has resumed as normal</t>
  </si>
  <si>
    <t>rop</t>
  </si>
  <si>
    <t>observed high ROP and W/R 1 joint before connection</t>
  </si>
  <si>
    <t>recommended to allow more drill off time and perform full stand every 2-3 stands</t>
  </si>
  <si>
    <t>traces, ROP HM, PC apps</t>
  </si>
  <si>
    <t>Current Parameters applied compared with the closeby offsets and ROP heat map</t>
  </si>
  <si>
    <t>push for more WOB to enhance ROP from 30 fph to 40 fph</t>
  </si>
  <si>
    <t>no</t>
  </si>
  <si>
    <t>Flow Out %</t>
  </si>
  <si>
    <t>it was noted that seepage losses occured upon entering Sudair formation (Plan), yet to be confirmed by GOC</t>
  </si>
  <si>
    <t>Recommend to control ROP with the flow upon restarted drilling if losses persists, while maintain 100 bbls Hi-Vis Pill every 30' and sifficient drill-off time</t>
  </si>
  <si>
    <t>DE discussed with foreman, he is evaluating the situation now</t>
  </si>
  <si>
    <t>Well had been static so far. Meanwhile, mud engineer is mixing LCM pill in case needed.</t>
  </si>
  <si>
    <t>Sent Look ahead for 22 in at section TD</t>
  </si>
  <si>
    <t>Highlighted all expected tight hole intervals</t>
  </si>
  <si>
    <t>DE has forward it to rig foreman</t>
  </si>
  <si>
    <t>traces. Alert</t>
  </si>
  <si>
    <t>HL</t>
  </si>
  <si>
    <t>Observed OP while after high SO while Running 4.5" Liner completion</t>
  </si>
  <si>
    <t>to ream down at least 1 stand after passing the obstruction at 14330 ft MD. We were not able to pass it if wash down only applied</t>
  </si>
  <si>
    <t>DE has contacted rig foreman by email and call</t>
  </si>
  <si>
    <t>Cont. Run on Elev</t>
  </si>
  <si>
    <t>Observed an increase in SPP after KD and the string on slips already</t>
  </si>
  <si>
    <t>To check Surfes lines and pumps</t>
  </si>
  <si>
    <t>Driller forgot to open IBOP</t>
  </si>
  <si>
    <t>ream down at least washing down while Running Liner</t>
  </si>
  <si>
    <t>night foreman Finally agreed to Wash down</t>
  </si>
  <si>
    <t>&lt;139</t>
  </si>
  <si>
    <t>As losses were encountered while drilling at 09:45 AM (Well shut due to flow), Corva calculated ECD were utilized, since no DH sensor ECD available while drilling, to determine appropriate MW</t>
  </si>
  <si>
    <t>Recommended to start at 139-140 pcf (GMW), and capable to go as high as 147 pcf (using MPD) upon restarting drilling, based on the Corva-calculated ECD at the bit before encountering losses</t>
  </si>
  <si>
    <t>DE sent the finding to Drilling Supervisor</t>
  </si>
  <si>
    <t>Rig to follow instructions of DE</t>
  </si>
  <si>
    <t>Jonathan Uwe / Ali Alotaiby</t>
  </si>
  <si>
    <t>Static pipe</t>
  </si>
  <si>
    <t>Last running Csg Joint was run in longer time than usual with an increase in the HL weight and after being on slips the block hight is steady for long time as well triggered an alert for static pipe detected.</t>
  </si>
  <si>
    <t>Recommended not to extend the time staying steady</t>
  </si>
  <si>
    <t>Found a problem with the Csg Tally</t>
  </si>
  <si>
    <t>HL Broomstick, GR, SVY</t>
  </si>
  <si>
    <t>Sent Look ahead for 5 7/8 in at section TD</t>
  </si>
  <si>
    <t>confirmed following recommendations</t>
  </si>
  <si>
    <t>SO</t>
  </si>
  <si>
    <t>Observed High OP and increase in SO 60 ft above BTM</t>
  </si>
  <si>
    <t>recommended to increase the Flow rate to allow going down further to BTM. Apply higher weight but check that the String is free from time to time</t>
  </si>
  <si>
    <t>A follow-up to the POH lookahead, to note that a ledge was recorded while RIH below the KOP, within the interval of 12,550 ft to 12,600 ft.</t>
  </si>
  <si>
    <t>Follow recommendations outlined in the original lookahead email</t>
  </si>
  <si>
    <t>DE has forwarded it to rig</t>
  </si>
  <si>
    <t>Confirmed following recommendations</t>
  </si>
  <si>
    <t>HL Broomstick, Tripping Speed</t>
  </si>
  <si>
    <t>Sent a summary of the recent wiper trip (To Window and back to Bottom) conducted prior to POH</t>
  </si>
  <si>
    <t>From the broomstick data, the overall hole condition appears to be good, with no obstructions encountered during the POH operation on elevators and Tripping speeds were maintained within the recommended safe limits</t>
  </si>
  <si>
    <t>DE has agreed with summary provided</t>
  </si>
  <si>
    <t>Sent a performance summary for 22"</t>
  </si>
  <si>
    <t>Highlighted the ILT time Lost</t>
  </si>
  <si>
    <t>tripping speed, Connection time</t>
  </si>
  <si>
    <t>Kindly be informed that so far the Current Tripping speed is 16 std/hr and 2026 KPI is 20 std/hr. Besides the average Connection time in 2.6 min and the KPI is 2 min.</t>
  </si>
  <si>
    <t>recommended to inehance the connection time.</t>
  </si>
  <si>
    <t>No feed back, Foreman was on Rig floor</t>
  </si>
  <si>
    <t>Drilling Metrics</t>
  </si>
  <si>
    <t>Sent individual KPI metrics which are presented as two distinct sets as requested by DE</t>
  </si>
  <si>
    <t>To be communicated to the rig team as a baseline for the upcoming 16-inch hole section</t>
  </si>
  <si>
    <t>DE has included it in presentation to rig</t>
  </si>
  <si>
    <t>Rig commited to aim for shared KPIs</t>
  </si>
  <si>
    <t>Traces, Hookload Broomstick, Tripping Speed</t>
  </si>
  <si>
    <t>WL on DP (TLC) TIH summary, showing a smooth hole, no indication of any hole problem</t>
  </si>
  <si>
    <t>As discussed with the RDC DE, it is recommended to proceed directly with the 4-1/2" liner.</t>
  </si>
  <si>
    <t>Decision was discussed w/ DE and agreed upon</t>
  </si>
  <si>
    <t>Rig to follow DE's instruction</t>
  </si>
  <si>
    <t>20 std/hr</t>
  </si>
  <si>
    <t>15 std/hr</t>
  </si>
  <si>
    <t>Kindly be informed that so far the Current Tripping speed is 15 std/hr and 2026 KPI is 20 std/hr.</t>
  </si>
  <si>
    <t>It is recommended to maintain the current pace or make necessary adjustments to meet or exceed the established target, if TLC provider allows.</t>
  </si>
  <si>
    <t>Observed a 300psi drop while drilling</t>
  </si>
  <si>
    <t>Contact the rig to investigate pressure drop</t>
  </si>
  <si>
    <t>DE has contacted the Rig</t>
  </si>
  <si>
    <t>Rig communicated displaced hi-vis sweep</t>
  </si>
  <si>
    <t>Rig Operations, ILT &amp; Variance Summary</t>
  </si>
  <si>
    <t>&gt;300</t>
  </si>
  <si>
    <t>The Lost Time due to connection time and ROP goal up to 3,600ft. Total Lost time is 3.53hrs compared to offset and previous SND-2012 MK-1 wells</t>
  </si>
  <si>
    <t>There was no need to limit ROP to 250ft/hr. Driller should opened up ROP to maximum while monitoring Torque response and hole cleaning.</t>
  </si>
  <si>
    <t>Rig received recommendations</t>
  </si>
  <si>
    <t>Noted a reduction in ROP has been observed during recent drilling interval, with average ROP approximately 55 ft/hr, below anticipated performance for this formation.</t>
  </si>
  <si>
    <t>Recommended to evaluate and implement optimized drilling parameters based on offset well performance to improve efficiency.</t>
  </si>
  <si>
    <t>RDH DE has contacted the rig DE, and foreman</t>
  </si>
  <si>
    <t>No action yet, as they anticipate losses in SHUIBA FM</t>
  </si>
  <si>
    <t>Please note the observed decrease in Flow Out percentage from approximately 30% to 17%, which subsequently triggered a SPP drop alert in Corva. This aligns with the planned FM while drilling in SHUB where losses expected.</t>
  </si>
  <si>
    <t>Recommended that in case of total losses, recommend to control ROP at 80 ft/h while maintain 100 bbls Hi-Vis Pill every 30’ as per the DWOP.</t>
  </si>
  <si>
    <t>DE has confirmed partial losses and circulation regained</t>
  </si>
  <si>
    <t>Rig already woking on mitigating and remedial</t>
  </si>
  <si>
    <t>Broomstick</t>
  </si>
  <si>
    <t>POOH</t>
  </si>
  <si>
    <t>Since we are going to start POOH, please receive automated broomstick. Please note the highlighted areas where was drilled with higher MSE</t>
  </si>
  <si>
    <t>Possibility of skip wiper trip depending on well conditions in SHUB</t>
  </si>
  <si>
    <t>YEs</t>
  </si>
  <si>
    <t>We have observed approximately 12 stds per hour while POOH with TLC logging on 4in DP in cased hole.</t>
  </si>
  <si>
    <t>If there is a change to improve the speed let’s try.</t>
  </si>
  <si>
    <t>DE did not forwarded to the rig since they have TCL logging tools</t>
  </si>
  <si>
    <t>-</t>
  </si>
  <si>
    <t>Observed POH speed in cased hole was below the Aramco KPI where Actual TOH Speed Avg. is 8 stands/hr and Aramco KPI (2026) for TOH is 20 stands/hr</t>
  </si>
  <si>
    <t>Recommended to try to aim to achieve or exceed the Aramco KPI as shared before</t>
  </si>
  <si>
    <t>DE explained that they have swab effect while POH, hence they need to reduce speed</t>
  </si>
  <si>
    <t>Send the ROP comparison for the completed 16" hole section, as requested by DE. Noting HRDH-2472 has been excluded since it's undergoing re-calculation.</t>
  </si>
  <si>
    <t>To be communicated to the rig team as feedback on prior performance</t>
  </si>
  <si>
    <t>DE has shared it to rig</t>
  </si>
  <si>
    <t>Provided the ROP comparison for the subject well against the last 3 wells previously completed by SND-2012, which are HRDH-2558, HRDH-2496, and HRDH-2645.</t>
  </si>
  <si>
    <t>Prepared KPI's for upcoming 12in HS based on 31 historical wells</t>
  </si>
  <si>
    <t>Prepared a 16in ROAD MAP for upcoming wells in HRDH MK1</t>
  </si>
  <si>
    <t>Prepared KPI's for upcoming 12in HS based on the last 3 wells drilled by same rig</t>
  </si>
  <si>
    <t>No Action needed yet</t>
  </si>
  <si>
    <t>Observed abnormal hookload. Foreman implemented correct action; connected TDS and commence washing down</t>
  </si>
  <si>
    <t>Recommended to washdown this last 5 stands to bottom considering no reaming trip was done prior to running the liner, If we have to ream, let’s ensure to circulate to ensure proper filter cake is placed</t>
  </si>
  <si>
    <t>DE has discussed and sent observation to rig email</t>
  </si>
  <si>
    <t>Rig has washed down to bottom as recommended</t>
  </si>
  <si>
    <t>Drilling Time Analysis</t>
  </si>
  <si>
    <t>Run Casing Time</t>
  </si>
  <si>
    <t>Following our Flat Time analysis, HRDH-2669 achieved a 13-3/8" casing running time of 10 hours, placing it between the faster wells HRDH-1965 and HRDH-2576 (8 hours each), and the slower wells HRDH-2472 and HRDH-2366 (12 hours each)</t>
  </si>
  <si>
    <t>Recommended to benchmark 8-hour wells to identify enabling factors, review 12-hour wells to determine root causes of delay.. and update SOPs to incorporate best practices and reduce variability</t>
  </si>
  <si>
    <t>No action needed yet</t>
  </si>
  <si>
    <t>BHA Handling Time</t>
  </si>
  <si>
    <t>The current well has demonstrated improved efficiency when compared to two of its previous wells (HRDH-2558 and HRDH-2496) across both drilling and casing BHA handling operations, however, HRDH-2645 offset remains the top-performing well in this comparison</t>
  </si>
  <si>
    <t>Recommendations Compare current performance with HRDH-2645 to identify best practices, document and apply successful methods/lessons learned from this well to future operations, and continue using real-time performance tracking for proactive adjustments.</t>
  </si>
  <si>
    <t>We still don’t have all historical database ready to analyze, based on previous wells drilled by SND-2012 we extracted the below metrics to be achieved in the upcoming 12in Hole Section. 
 Hazards.
 Well Flowing – High pressure zone in JILH formation
 Abrasive Formation – Across Minjur formation
 Stuck Pipe – Reactive / sloughing shale in Marrat formation
 Recommendation
 ARABS – Optimize ROP in ARAB A &amp; B, Possible loss zone in ARAB D
 HNIF to HURANIA – Optimize full parameters
 MINJUR – Reduce RPM to drill abrasive formation
 JILH – Increase WT, Reduce RPM – hard formation
 ROP captured.
 BYDH to MDTM / ROP - 150-200ft/h / WOB 40-45 Klbs / 130-140 RPM / 8-12 klbs.ft / Flow 800 - 900 gpm
 MDTM to SULY / ROP - 150 ft/h / WOB 40 Klbs / 130-150 RPM / 9-14 klbs.ft / Flow 800 - 900 gpm
 SULY to HITH / ROP - 70-100 ft/h / WOB 45 Klbs / 130-150 RPM / 11-12 klbs.ft / Flow 800 - 900 gpm
 HITH to ARAB / ROP - 50-70 ft/h / WOB 45-50 Klbs / 130-150 RPM / 12-13 klbs.ft / Flow 800 - 900 gpm
 ARAB TO HNIF / ROP - 40-70 ft/h / WOB 45-50 Klbs / 130-150 RPM / 13-18 klbs.ft / Flow 800 - 900 gpm
 HNIF TO TD / ROP - 60-80 ft/h / WOB 40-50 Klbs / 130-150 RPM / 14-18 klbs.ft / Flow 800 - 900 gpm
 For Connection times window,
 Try to optimize as hole conditions dictate.
 Bottom to Slips / 8-13 min
 Slips to Slips / 4.5 – 5.3 min
 Slips to Bottom / 4-7 min
 Weight to Weight / 17-25 min</t>
  </si>
  <si>
    <t>Parameter Comparison DC</t>
  </si>
  <si>
    <t>An update that offset data for the 12” hole sections have now been successfully loaded into our Corva database, as illustrated in the Parameter Comparison application.</t>
  </si>
  <si>
    <t>For this analysis, HRDH-2311 has been selected as the reference well due to its high-performance ROP. Once drilling on HRDH-2669 begins, it will be designated as the new subject well, with the remaining five wells serving as comparative offsets.</t>
  </si>
  <si>
    <t>Discussed the anaylsis with DE, and he agreed on the outcome</t>
  </si>
  <si>
    <t>To be actioned once drilling commenced</t>
  </si>
  <si>
    <t>Please note that during operations, the average POH speed in cased hole w/ 12" Cleanout BHA was 19 stds/hr, below Aramco KPI of 20 stds/hr. While the overall average remains just below target, the rig has achieved a maximum speed of 22.4 stands per hour on certain stands. This indicates the potential to meet or even exceed the KPI with further optimization.</t>
  </si>
  <si>
    <t>We recommend aiming to maintain speeds closer to the observed peak, to close the gap and align performance with the 2026 KPI Target.</t>
  </si>
  <si>
    <t>We know now we have MPD but system observed small 3bbl increase over last hour.</t>
  </si>
  <si>
    <t>We continue monitoring and will alert if this continue happen.</t>
  </si>
  <si>
    <t>Aubry, Pierre-Alain</t>
  </si>
  <si>
    <t>Losses</t>
  </si>
  <si>
    <t>Observed an increase in SPP, accompanied by recorded losses at the moment &gt; 40 bbls.</t>
  </si>
  <si>
    <t>Recommended to confirm if within the expected volume.</t>
  </si>
  <si>
    <t>DE has sent observation to rig email to confirm rootcause</t>
  </si>
  <si>
    <t>Rig confirmed pumping sealing pills</t>
  </si>
  <si>
    <t>Please note that during operations, the average POH speed in cased hole was recorded at 17 stands per hour, slightly below the Aramco KPI for 2026 of 20 stands per hour</t>
  </si>
  <si>
    <t>Static Time</t>
  </si>
  <si>
    <t>Alert indicating an extended static time during the survey conducted prior to making the connection. According to the Real-Time data, there were two attempts observed, corresponding to two pump cycles.</t>
  </si>
  <si>
    <t>As a best practice, we recommend ensuring proper string movement between each attempt to help minimize static time and optimize wellbore stability</t>
  </si>
  <si>
    <t>DE agreed that 8 min stationary at HZ well is risky</t>
  </si>
  <si>
    <t>Rig already went back to drilling</t>
  </si>
  <si>
    <t>We observed slow ROP while sliding, 0-2 WOB, no differential pressure. We observed formation is soft and we can perform better while sliding.</t>
  </si>
  <si>
    <t>Please lets try improve slide ROP.</t>
  </si>
  <si>
    <t>Rig controlling ROP at 200fph, it was requested to open ROP at this point</t>
  </si>
  <si>
    <t>Informed DE</t>
  </si>
  <si>
    <t>Slow slide ROP</t>
  </si>
  <si>
    <t>Slow slide ROP as result of WOB used was lower than than of the roadmap</t>
  </si>
  <si>
    <t>Discussed the observation with the DE</t>
  </si>
  <si>
    <t>DE sent the observation to rig, and escalated to DD Coordinator</t>
  </si>
  <si>
    <t>DE sent the observation to rig, and recommended SVY / 2 stds</t>
  </si>
  <si>
    <t>Rig is maintaining WOB around 50 klbf</t>
  </si>
  <si>
    <t>Observed POH speed in cased hole was below the Aramco KPI where Actual TOH Speed Avg. is 11 stands/hr and Aramco KPI (2026) for TOH is 20 stands/hr</t>
  </si>
  <si>
    <t>Recommended to try to aim to achieve or exceed the Aramco KPI as shared if hole condition allows</t>
  </si>
  <si>
    <t>Directional Surveys</t>
  </si>
  <si>
    <t>Observed the survey not taken as recommended for every 2 stands (Last survey was at 5100 ft MD and now we are at 5619 ft MD.)</t>
  </si>
  <si>
    <t>DE emailed the rig requesting explanation</t>
  </si>
  <si>
    <t>Drilling parameters is erratic as you can see below, Corva Alerts for erratic torque triggered.</t>
  </si>
  <si>
    <t>DE called Rig</t>
  </si>
  <si>
    <t>FLAT TIME</t>
  </si>
  <si>
    <t>Summary of Flat Time for SND-2015 / HRDH-2680</t>
  </si>
  <si>
    <t>Sent snap shot of offsets well to match and chase faster ROP</t>
  </si>
  <si>
    <t>Differntial Pressure</t>
  </si>
  <si>
    <t>Parameter Comparison</t>
  </si>
  <si>
    <t>Diff Press</t>
  </si>
  <si>
    <t>A parameter comparison in terms of TVD against the following most applicable offsets HRDH-2311 (RTY), HRDH-1997 (MTR) and HRDH-2496 (MTR)</t>
  </si>
  <si>
    <t>observed an underwhelming differential pressure and torque delivery of the motor below expected</t>
  </si>
  <si>
    <t>DE discussing the motor effeciency and ability to complete run with his Team</t>
  </si>
  <si>
    <t>Erratic</t>
  </si>
  <si>
    <t>Observed an erratic behavior of RPM and TQ trend started at 6750’</t>
  </si>
  <si>
    <t>recommended to reset at lower RPM and upstage it 70, 80 RPM</t>
  </si>
  <si>
    <t>DE agreed and contacted rig w/ recommendation</t>
  </si>
  <si>
    <t>Rig actioned it we have return to normal drilling</t>
  </si>
  <si>
    <t>A parameter comparison in terms of TVD against the following most applicable offsets HRDH-2311 (RTY), HRDH-1997 (MTR) and HRDH-2496 (MTR), including drilling parameters from MDTM-SULY up to current FM HITH.</t>
  </si>
  <si>
    <t>Observed a drop in torque delivery from 8-9 up to 10 klbf.ft down to 5-6 klbf.ft during all soft formation</t>
  </si>
  <si>
    <t>DE discussing the motor effeciency as oppose to RTRY BHA</t>
  </si>
  <si>
    <t>S2S</t>
  </si>
  <si>
    <t>Noticed since the flow check after 10 stands, that we are lagging behind in S2S KPI  for tripping</t>
  </si>
  <si>
    <t>Recommended to follow KPI</t>
  </si>
  <si>
    <t>DE called and emailed rig about the observation</t>
  </si>
  <si>
    <t>Foreman informed ST-80 is down, rig use manual tong and Spinner, rig working on it</t>
  </si>
  <si>
    <t>Just a reminder to remain within the goal to support the achievement of Aramco's KPI targets</t>
  </si>
  <si>
    <t>Tripping Spped</t>
  </si>
  <si>
    <t>High time S2S observation sent on time</t>
  </si>
  <si>
    <t>Slow tripping out speed expected 20 stds, current 10 stds</t>
  </si>
  <si>
    <t>&gt;150</t>
  </si>
  <si>
    <t>It has been observed rig are controlling ROP to 100 fph</t>
  </si>
  <si>
    <t>Recommend to set WOB, and open ROP to improve performance</t>
  </si>
  <si>
    <t>DE agreed, and has shared the observation w/ rig</t>
  </si>
  <si>
    <t>&gt;100</t>
  </si>
  <si>
    <t>Please receive ROP expectation based of offsets,ROP expected to be above 100fph until MNJR, MNJR expected 60fph, JLDM expected 40fph</t>
  </si>
  <si>
    <t>Expeced ROP until MNJR</t>
  </si>
  <si>
    <t>&gt;160</t>
  </si>
  <si>
    <t>It was observed rig are limiting ROP to 160'/hr while WOB is varying since 8398'</t>
  </si>
  <si>
    <t>Open ROP to achieve the desired performance</t>
  </si>
  <si>
    <t>DE made the observation and sent directly to foreman (crew change)</t>
  </si>
  <si>
    <t>Rig has removed the limiter</t>
  </si>
  <si>
    <t>Observed RIH speed w/ 7” Liner at subject well is slower than Aramco KPI.</t>
  </si>
  <si>
    <t>DE shared the observation with rig</t>
  </si>
  <si>
    <t>Rig informed MW is 150pcf, and not got returns at the speed we were running</t>
  </si>
  <si>
    <t>Observed rig drop RPM and lost ROP</t>
  </si>
  <si>
    <t>Recommended to increase RPM</t>
  </si>
  <si>
    <t>Rig increased RPM</t>
  </si>
  <si>
    <t xml:space="preserve">According to the provided well plan, we are now in a hold (tangent) interval, continuing from 5,300 ft to 5,700 ft. </t>
  </si>
  <si>
    <t xml:space="preserve">Recommended to optimize drilling parameters to achieve the highest possible ROP while operating in rotary mode. </t>
  </si>
  <si>
    <t xml:space="preserve">Recommendation to continue with survey every 2 stands. Slb will interpolate later between survey stations </t>
  </si>
  <si>
    <t xml:space="preserve">We recommend while drilling is using Auto drill not to limit to WOB, lets limit auto drill to ROP or differential pressure if possible.
Below case a good set point for ROP is 110fph or/and 500psi differential pressure. Lets use ROP and/or diff pressure for auto drill.
The current settings make crate more vibrations, ledges in the wellbore or mechanical stress in the BHA.
</t>
  </si>
  <si>
    <t xml:space="preserve">Observed low ROP performance, </t>
  </si>
  <si>
    <t>offset well drilling in HITH, observed higher Differential compared with actual well,
Approximately 600 psi and we current achieve 270psi. this possible reflecting our ROP performance</t>
  </si>
  <si>
    <t xml:space="preserve">Send e-mail describing </t>
  </si>
  <si>
    <t>ROP comparison between HRDH-2311 (RTY) and HRDH-1997 (MTR), HRDH-2496 (MTR)
We can observe current MTR BHA falling behind ROP, possible due to low differential pressure/torque.</t>
  </si>
  <si>
    <t xml:space="preserve">Since the last observation, S2S has shown overall improvement. However, in the last two stands, the TOH has exceeded the target. </t>
  </si>
  <si>
    <t xml:space="preserve">Potential savings 1.8 HRS FOR THE TRIP OUT </t>
  </si>
  <si>
    <t xml:space="preserve">Potential Savings 1.75 HRS FOR THE TRIP OUT </t>
  </si>
  <si>
    <t xml:space="preserve">Potential Savings 3.15 HRS FOR THE TRIP OUT </t>
  </si>
  <si>
    <t>25</t>
  </si>
  <si>
    <t>45</t>
  </si>
  <si>
    <t>11</t>
  </si>
  <si>
    <t xml:space="preserve">Alerts </t>
  </si>
  <si>
    <t>40</t>
  </si>
  <si>
    <t>250</t>
  </si>
  <si>
    <t>4.2</t>
  </si>
  <si>
    <t>3.8</t>
  </si>
  <si>
    <t>3.6</t>
  </si>
  <si>
    <t>2</t>
  </si>
  <si>
    <t>10</t>
  </si>
  <si>
    <t>100</t>
  </si>
  <si>
    <t>150</t>
  </si>
  <si>
    <t xml:space="preserve">Since beginning we noticed LOW ROP while sliding, we alerted DE, he agreed but waited more time, next day based on our charts he was leaning to POOH due to low ROP, he's manager asked to wait a little more. Following day ROP kept degrading and they decided to POOH, took 45hrs to POOH and RIH with RTY assy. With new BHA we drilled double ROP from first BHA, Took 60hrs to TD. So we saved 60hrs with new BHA - 45hrs of the trip to change BHA = 15 hrs. </t>
  </si>
  <si>
    <t>As a recommendation, it w+Q195:Z195ould be advisable to continue reaming the highlighted intervals in an effort to smooth out the variations as much as possible.</t>
  </si>
  <si>
    <t>EOW</t>
  </si>
  <si>
    <t>Trips</t>
  </si>
  <si>
    <t>HRDH-2451</t>
  </si>
  <si>
    <t>34"</t>
  </si>
  <si>
    <t>HRDH-2481</t>
  </si>
  <si>
    <t>Traces / Alerts</t>
  </si>
  <si>
    <t>Overpull</t>
  </si>
  <si>
    <t>&lt;15</t>
  </si>
  <si>
    <t>16</t>
  </si>
  <si>
    <t>Received an alert for minimal overpull while POOH of 16 kblf</t>
  </si>
  <si>
    <t>Recommended follow Aramco procedure for TOH/Overpull (shared by email)</t>
  </si>
  <si>
    <t>DE deemed alert unnecessary since overpull lower end</t>
  </si>
  <si>
    <t>24</t>
  </si>
  <si>
    <t>Following up previous alert, we had received another OP Alert at 7495’ of 24 klbf</t>
  </si>
  <si>
    <t>Included the Aramco prcedure for backreaming</t>
  </si>
  <si>
    <t>DE and Ops Commandor has shared recommendations to rig</t>
  </si>
  <si>
    <t>Rig backreamed obstruction and resume TOH on elevators</t>
  </si>
  <si>
    <t>Abdullah Alzahrani / Ibrahim Yami</t>
  </si>
  <si>
    <t>Avg. current Trip in Speed is 11 stands/hr, while Aramco KPI is 20 stands/hr</t>
  </si>
  <si>
    <t>Recommended to follow the aforementioned Aramco KPIs if within allowed limits of BHA components.</t>
  </si>
  <si>
    <t>DE concerenced to push Trip speed not to set the packer</t>
  </si>
  <si>
    <t>Observed Slip-to-slip time is lower than Aramco KPI</t>
  </si>
  <si>
    <t>Recommended to follow the aforementioned Aramco KPIs</t>
  </si>
  <si>
    <t xml:space="preserve">DE agreed and discussed w/ foreman over phone </t>
  </si>
  <si>
    <t>Foreman has asked crew to improve</t>
  </si>
  <si>
    <t>Preparing KPI for next HS</t>
  </si>
  <si>
    <t>317</t>
  </si>
  <si>
    <t>String appeared not going down, since we do not force string in case of obstruction</t>
  </si>
  <si>
    <t>Plan to pick up and if required, wash down across this interval</t>
  </si>
  <si>
    <t>DE tried reaching on the phone, but was on the rig floor</t>
  </si>
  <si>
    <t>Rig is making 9-5/8” DV and x-overs, no issue (running smooth till now)</t>
  </si>
  <si>
    <t>Provided the Drilling Metrics summary to DE upon his request</t>
  </si>
  <si>
    <t>DE to use the data provided to encourage the rig current performance, and emphasize on areas of improvement</t>
  </si>
  <si>
    <t>DE has reviewed the data and agrees with calculations</t>
  </si>
  <si>
    <t>ILT &amp; Variance Summary / DVD</t>
  </si>
  <si>
    <t>Provided 12" section summary as below up to date and Drill Time Curve verses the best well in offsets and previous wells by SND-2012</t>
  </si>
  <si>
    <t>DE discussed with rig crew as needed</t>
  </si>
  <si>
    <t>DE has reviewed the data and discussed with rig crew</t>
  </si>
  <si>
    <t>Based in the last 3 wells from SND-2012 and 02 wells drilled by same bit HRDH-1963 and HRDH-2730. Below are the expected ROP.</t>
  </si>
  <si>
    <t>Provided entire well section summary and Drill Time Curve verses the best well in offsets and previous wells by SND-2012 as per Ali O. request</t>
  </si>
  <si>
    <t>Summary provided as requested in email both snapshots and excel (Table) format</t>
  </si>
  <si>
    <t>Ali O.  reviewed the data and to be shared with his manager</t>
  </si>
  <si>
    <t>Pierre Aubry / Ali Otaibi</t>
  </si>
  <si>
    <t>Highlighted Tripping speed performance since DV drilled, until drilling Float/Cement.</t>
  </si>
  <si>
    <t>On average rig has achieved 21 stands/hr above Aramco KPI (20 stands/hr).</t>
  </si>
  <si>
    <t>Ibrahim reviewed the data and shared it with rig</t>
  </si>
  <si>
    <t>Pierre Aubry / Ibrahim Yami</t>
  </si>
  <si>
    <t>Attached the exported DVD including the plot generated by excel for comparison</t>
  </si>
  <si>
    <t>Ali O.  reviewed the data and shared it with his manager</t>
  </si>
  <si>
    <t>2800</t>
  </si>
  <si>
    <t>System has detected 200psi pressure increase, possible due to increase RPM, will continue to monitor.</t>
  </si>
  <si>
    <t>Gain/loss</t>
  </si>
  <si>
    <t>Active Pit increase</t>
  </si>
  <si>
    <t>We observed a mud transfer, however after transfer finished we still can see volume slowly coming up. 1 – End of transfer, 2 – Gain loss showing 4bbl after transfer, Driller zero again Gain Loss 3- Gain loss increased again to 4 bbl</t>
  </si>
  <si>
    <t>ROP below expectation</t>
  </si>
  <si>
    <t>Based on HRDH-2309 we were achiving up to 60ft/h on bottom ROP, they were using 150 RPM, 22klbs, 280 gpm, 5k drilling tq. lets try to improve our ROP</t>
  </si>
  <si>
    <t>DE shared the observation with rig, ROP increased after observation</t>
  </si>
  <si>
    <t>DVD</t>
  </si>
  <si>
    <t>Provided revised DVD chart from Corva, we’ve addressed the following: Eliminated the Depth Jump event at HRDH-2496, Completed the Flat Time of HRDH-2645 and Well Section selection up to EOW</t>
  </si>
  <si>
    <t>Attached snapshot of DVD chart, to analyze if ahead/behind of DCIP and AVG</t>
  </si>
  <si>
    <t>Staging</t>
  </si>
  <si>
    <t>Kindly see below what we’ve discussed regarding upstaging RPM. Noting 9 5/8" casing shoe at 10136' MD</t>
  </si>
  <si>
    <t>Recommended to maintain optimzed RPM level</t>
  </si>
  <si>
    <t>DE shared observation with rig along target ROP</t>
  </si>
  <si>
    <t>Rig applied max operational RPM</t>
  </si>
  <si>
    <t>3500</t>
  </si>
  <si>
    <t>Kindly note, we received an alert for on-bottom pressure loss, this is coupled by the fluctuating TQ/RPM.</t>
  </si>
  <si>
    <t>Recommended to maintain optimized parameters to reduce fluctuation</t>
  </si>
  <si>
    <t>DE called rig to check Topdrive RPM set</t>
  </si>
  <si>
    <t>Rig checking Topdrive</t>
  </si>
  <si>
    <t>3900</t>
  </si>
  <si>
    <t>Observed 150psi pressure increase.</t>
  </si>
  <si>
    <t>Infromed DE and request rig to investigate</t>
  </si>
  <si>
    <t>DE called rig to check pressure incrase</t>
  </si>
  <si>
    <t>Alzahrani, Abdullah A</t>
  </si>
  <si>
    <t>Parameter comparison</t>
  </si>
  <si>
    <t>50</t>
  </si>
  <si>
    <t>From offsets well we observed a possibility of improve in ROP, torque seems to be steady and low WOB is been applied now.</t>
  </si>
  <si>
    <t>Please consider to review surface parameters to optimize ROP performance. WOB Road Map up to 40klbs, Obs. In case of controlled parameters due steerability difficulty, please disregard the above suggestion. We understand the challenge well plan ahead.</t>
  </si>
  <si>
    <t>DE called rig and emailed the alert</t>
  </si>
  <si>
    <t>Rig increased WOB/ROP</t>
  </si>
  <si>
    <t xml:space="preserve">Provided the Lookahead and Broomstick charts for SND-2012/ HRDH-669/ 8-3/8" Hole Section. </t>
  </si>
  <si>
    <t>As per DE request, included GR and DLS high zones, broomstick chart, along recommendation for POH</t>
  </si>
  <si>
    <t>DE shared the lookahead with rig</t>
  </si>
  <si>
    <t>Rig to follow the lookahead</t>
  </si>
  <si>
    <t>POH with 2.3 min Connection time and avg of 19 std per hr</t>
  </si>
  <si>
    <t>Send intervention for having lower number of stands per hr below KPI</t>
  </si>
  <si>
    <t>Na action was taken</t>
  </si>
  <si>
    <t xml:space="preserve">Eliminated wiper trip in 8-3/8" hole based on T&amp;D data from Corva and RIH 4-1/2" x 7" Liner to bottom without issues </t>
  </si>
  <si>
    <t>As per DE recommendation (Hrs added as per DE)</t>
  </si>
  <si>
    <t>Successfully run Liner to BTM</t>
  </si>
  <si>
    <t>POH with 2.4 min Connection time and avg of 19 std per hr</t>
  </si>
  <si>
    <t>decreased Connection time to 2 min</t>
  </si>
  <si>
    <t>From offsets well we observed drilling 34in HS with 40-60 RPM and 20/40 k WOB, drill with low RPM and high WOB increase the chance to deviate the well</t>
  </si>
  <si>
    <t>Recommend to stage up RPM to 50 and keep 20k wob, once parameters stable optimize WOB accordingly.</t>
  </si>
  <si>
    <t>parmeter comparison</t>
  </si>
  <si>
    <t>for the drilling parameters comparison between Last 3 rigs drilled by the same rig, with the current set of parameters we are around 15 ft per hr behind in ROP</t>
  </si>
  <si>
    <t>Recommended to match Last well drilled parameters (HRDH-2617) with 45 K WOB and 65 SRPM. With those parameters the TQ reached around 11 ft-KIbf.</t>
  </si>
  <si>
    <t>Increased Flow rate to 1000 gpm, Then ROP increased from 12 to 35 fph</t>
  </si>
  <si>
    <t>18</t>
  </si>
  <si>
    <t>observed having much higher TQ compared with offset wells drilling the same intervals which may be related running a RR Bit, which affect increasing RPM or WOB due to the TQ /Vibration.</t>
  </si>
  <si>
    <t>Recommended if possible to increase the flow rate for now as it is the only parameter we have that could enhance the drilling practice.</t>
  </si>
  <si>
    <t>claimed that flow rate wont change anything since they are pumping Hi-vis pills and no change happened</t>
  </si>
  <si>
    <t>Drilling torque seems smooth giving us a little room for RPM improvement</t>
  </si>
  <si>
    <t>as per offset we observed previous wells going up to 70 RPM and achieving better ROP. A drill of test is recommended to chase better performance.</t>
  </si>
  <si>
    <t>agreed to follow recommendation</t>
  </si>
  <si>
    <t>from 1358 ft MD , there is a dramatic change in ROP observed while applying the Max parameters</t>
  </si>
  <si>
    <t>Recommended to make small change in the current drilling parameters to try find the sweet combination to enhance ROP. We can decrease the RPM a little from90 to (70-80) SRPM and see what it would affect in terms of ROP, compared with the offset wells the Max RPM applied was 65 SRPM.</t>
  </si>
  <si>
    <t>agreed to follow recommendation
Later ROP increade to Double</t>
  </si>
  <si>
    <t>PU/SO</t>
  </si>
  <si>
    <t>As per broomstick below we can observe good relationship of PU/SO/RT weight despite losses.</t>
  </si>
  <si>
    <t>Recommend to optimize ROP in steps and evaluate next stand.
Note Wash Up wt. 204klbs / Wash Down: 212klbs / RT: 209klbs, and this ration is parallel as we drill down. Inside a good envelop suggesting low FF.</t>
  </si>
  <si>
    <t>parmeter comparison, traces</t>
  </si>
  <si>
    <t>Broomstick, traces</t>
  </si>
  <si>
    <t>Recommended to skip planned wiper trip as there is no indecation or concern to do so</t>
  </si>
  <si>
    <t>PU</t>
  </si>
  <si>
    <t>Recommended to apply soft Backreaming parameters for not loosing the Casg go pill and after passing this interval when trying to POH on Elevator to decrease the tripping speed</t>
  </si>
  <si>
    <t>Sent Broomstick for the Open Hole with the Actual FM tops plotted on top of it. From the Actual PU/SO and All connections done, doesn’t show any indication of concern and no much fluctuation in the actual reading. Taking in consideration that a Full stand BR/RD was applied on every connection</t>
  </si>
  <si>
    <t>Sent a follow up close to Csg Shoe showing the hole condetion</t>
  </si>
  <si>
    <t>Recommended to go with the plan to skip wiper trip</t>
  </si>
  <si>
    <t xml:space="preserve"> drilling at 530 ft MD, and All BHA is out of Casing, Compared with the offset wells drilled by the same rig it was observed applying Lower parameters that resulted in Lower ROP</t>
  </si>
  <si>
    <t>Recommended to increase WOB gradually to 40 K ,SRPM to 50 and keep the same flowrate we might see an enhancement in ROP</t>
  </si>
  <si>
    <t>Observed Tight spot at 1860 ft MD, then Rig directly went for Back reaming</t>
  </si>
  <si>
    <t>Increase RPM to 60, and chase performace</t>
  </si>
  <si>
    <t>It is Early sign of Well Control and as per wells on the same section, same field and same Ops departement, NPT was 17.5 hrs
HRDH-2434-----&gt; 17.5 HRS</t>
  </si>
  <si>
    <t>As per Offset Road Map after intervention ROP increased and saved 10hrs of drilling time</t>
  </si>
  <si>
    <t>Based of Off set, Increased RPM resulted in faster ROP</t>
  </si>
  <si>
    <t>Erratic TRQ and string stall and Over Pull to release string it is high potentional of string stuck and as per Wells on the same field, same section and same ops depratement recorded NPT 32.91 hrs due to stuck pipe. (HRDH-1131 ----&gt;16.5 hrs
HRDH-1801 -----&gt; 4.75 hrs
HRDH-1812 ------&gt;59.25 hrs 
HRDH-1929 ------&gt;11 hrs
HRDH-1933 ------&gt;11.5 hrs 
HRDH-1952 ------&gt;8 hrs
HRDH-1970 ------&gt;15 hrs
HRDH-1994 ------&gt;78.5 hrs
HRDH-2101 -------&gt; 27 hrs
HRDH-2101 -------&gt;35.5 hrs
HRDH-2155 ------&gt;28.25 hrs
HRDH-2180 -------&gt;22.5 hrs
HRDH-2190 ------&gt;2.75 hrs
HRDH-2220 ------&gt;59.25 hrs
HRDH-2316 ------&gt; 25.25 hrs
HRDH-2394 -----&gt; 2 hrs
HRDH-2430 -----&gt; 28.25 hrs
HRDH-2431 -----&gt; 81.5 hrs
HRDH-2471 ------&gt; 62.25 hrs
HRDH-2474 ------&gt; 98.5 hrs
HRDH-2537 -------&gt; 81.75
HRDH-2538 ------&gt; 14.5
HRDH-2538 ------&gt; 2 hrs
HRDH-6000 ------&gt; 0.5 hrs
HRDH-6002 -----&gt; 39.25 hrs
HRDH-688 -----&gt; 15.75 hrs
HRDH-795 ------&gt; 58 hrs
HRDH-978 -----&gt; 32.5 hrs)</t>
  </si>
  <si>
    <t>Saved Time with Parameters change</t>
  </si>
  <si>
    <t>Rig did not follow instructions</t>
  </si>
  <si>
    <t>Planned (27.66 hrs) to drill this section ( 17 fph ROP) and they finished in (15.86 ROP) (29.5 hrs)</t>
  </si>
  <si>
    <t xml:space="preserve">Rig increased RPM and ROP sligthly increase </t>
  </si>
  <si>
    <t>Will confirm once reach TD</t>
  </si>
  <si>
    <t>hrs added based on DE calculations</t>
  </si>
  <si>
    <t>Validate (Y/N)</t>
  </si>
  <si>
    <t>EDD</t>
  </si>
  <si>
    <t>URDD</t>
  </si>
  <si>
    <t>NAOWOD</t>
  </si>
  <si>
    <t xml:space="preserve">ROP </t>
  </si>
  <si>
    <t>SAGWOD</t>
  </si>
  <si>
    <t>SGGDD</t>
  </si>
  <si>
    <t>O&amp;OODD</t>
  </si>
  <si>
    <t>Current we have all 3 RR below CSG shoe, which give us opportunity increase RPM and chase more performance. Past well just increasing RPM.ROP went from 20fph to 65-70ft/h</t>
  </si>
  <si>
    <t xml:space="preserve"> TO MITIGATE THE SEVERE VIBRATION</t>
  </si>
  <si>
    <t>confirmed to follow recommendations</t>
  </si>
  <si>
    <t>Planned DCIP (37.23 hrs) to drill this sectionand they finished in (46.5 hrs), Due to Losses and performing full STD BR/RD, we lost some time in the total W2W</t>
  </si>
  <si>
    <t>Broomstick, DVD, Traces, Directional</t>
  </si>
  <si>
    <t xml:space="preserve">obsrved applying lower drilling parameters </t>
  </si>
  <si>
    <t>DE sent Email directly to Rig</t>
  </si>
  <si>
    <t>Discussed with DE Recommended to increase drilling parameters to enhance ROP</t>
  </si>
  <si>
    <t xml:space="preserve"> TO MITIGATE THE SEVERE VIBRATION on TDS</t>
  </si>
  <si>
    <t>Observed gradual increase in SPP from 1350 PSI to 1440 (1268 ft-1315 ft) MD, then Jumped to 1980 PSI at KD.
After Conn. We still observe 300 PSI increase in SPP</t>
  </si>
  <si>
    <t>Recommended to check surface lines and Pumps</t>
  </si>
  <si>
    <t>Problem with TDS</t>
  </si>
  <si>
    <t>Observed increase in SPP whenever Rig PU off BTM from 1750 PSI to 2050. 300 PSI increase difference.</t>
  </si>
  <si>
    <t>check with the rig the reason behind it to avoide any twist off in BHA</t>
  </si>
  <si>
    <t>DE Called Rig</t>
  </si>
  <si>
    <t>Rig is struggling to mix on fly which brings SPP issues when picking off bottom</t>
  </si>
  <si>
    <t>HRDH-2648</t>
  </si>
  <si>
    <t>Parameter Comparison, Rig Operations</t>
  </si>
  <si>
    <t>Flow</t>
  </si>
  <si>
    <t>Following the offsets well, it’s recommended to increase flow rate to 1000gpm and if possible maintain WOB more constant, TQ seems to be fine to achieve that. We can also optimize slips to slips time. Current AVG time 6.8 min</t>
  </si>
  <si>
    <t>Requested to increase Flow and maintain better WOB</t>
  </si>
  <si>
    <t>From the Actual PU/SO and All connections done, doesn’t show any indication of concern and no much fluctuation in the actual reading. Taking in consideration that a Full stand BR/RD was applied on every connection.</t>
  </si>
  <si>
    <t xml:space="preserve">Observed at KD Hole Packed off with the increase in TQ that resulted in String stall and increase in SPP. </t>
  </si>
  <si>
    <t>Recommended to Pump pill and Circ. More till TQ become steady prior BR/RD Full Stand for Connection.</t>
  </si>
  <si>
    <t>Observed very low ROP since started drilling</t>
  </si>
  <si>
    <t xml:space="preserve">Currently all Roller reamers are our of shoe, so If possible can we increase the drilling parameters matching with offset wells </t>
  </si>
  <si>
    <t>will change shares screens and try higher RPM for Bit Balling suspection</t>
  </si>
  <si>
    <t>As we can see in SFNY FM we can achieve up to 400 fph instantaneous ROP, however we need to max the flow.</t>
  </si>
  <si>
    <t>Recommended If no other problems to to raise flow and chase ROP of 350fph + in current Fm</t>
  </si>
  <si>
    <t>Rig follewed and Increase Flow Rate, BUT ROP didn’t change , they kept holding on 300fph</t>
  </si>
  <si>
    <t>Company Man sent his Game Plan stating to control 50fph across SFNY.</t>
  </si>
  <si>
    <t>Created a ROAD MAP and displayed across SFNY is the best time to drill fast with ROP up to 350fph</t>
  </si>
  <si>
    <t>Drilled with no control</t>
  </si>
  <si>
    <t>150ft drilled w/o Optimization = 150/40fph(difference) = 3.75hrs</t>
  </si>
  <si>
    <t xml:space="preserve">Rig Operations </t>
  </si>
  <si>
    <t xml:space="preserve">Sending a follow up of Rig Times, rig performing well. However they still can improve slips to slips time. </t>
  </si>
  <si>
    <t>Recommended to improve S-S time</t>
  </si>
  <si>
    <t>DE emailed the Rig</t>
  </si>
  <si>
    <t>Followed</t>
  </si>
  <si>
    <t>WOB &amp; RPM can be adjusted with respect to TQ to find the good drilling parameters combination</t>
  </si>
  <si>
    <t xml:space="preserve">Highlighted the intervals of concern the section progress and Performance </t>
  </si>
  <si>
    <t>Recommended tripping speed and applying soft BR if required</t>
  </si>
  <si>
    <t>send Broomstick summary indecates no Major issue to avoid wiper trip</t>
  </si>
  <si>
    <t>1635 ft / 30 ft/hr avg = 46.7 hr &amp; 1635 ft &amp; 1635 ft / 15 ft/hr = 109 hr (109-46.7) 62.3 hrs could be saved
Planned 38.5 hrs for drilling this sections (42.5 ROP ), fiished in 46.5 hrs, drilled 1637' with 35.2 fph</t>
  </si>
  <si>
    <t>Skipped Wiper Trip, hrs added based on DE calculations</t>
  </si>
  <si>
    <t>Drilind section in 42.75 hrs with more Ftg 35'</t>
  </si>
  <si>
    <t>Rig OPS</t>
  </si>
  <si>
    <t>Highlighted the time spent in S2S time</t>
  </si>
  <si>
    <t>Recommended to decrease it below 5 min</t>
  </si>
  <si>
    <t>Reference to the Offset parameters used throughout this interval Drilling inside BYDH FM there is a room of ROP improvement with the increase of WOB from 35-45</t>
  </si>
  <si>
    <t>Recommended to skip wiper trip unless hole dictats</t>
  </si>
  <si>
    <t>Broomstick, DVD, Rig OPS</t>
  </si>
  <si>
    <t>Created a flat time Road MAP for HRDH field</t>
  </si>
  <si>
    <t>Recommend to monitor each section to track ILT during flat time</t>
  </si>
  <si>
    <t>Validated Road Map</t>
  </si>
  <si>
    <t>Ali Oitabi</t>
  </si>
  <si>
    <t>traces, Broomstick, rig ops, DVD</t>
  </si>
  <si>
    <t>sent a performance updated for drilling 22 in</t>
  </si>
  <si>
    <t>recommedned to decrease S2S &amp; B2S time</t>
  </si>
  <si>
    <t>B2S</t>
  </si>
  <si>
    <t>sent a performance updated for drilling 16 in</t>
  </si>
  <si>
    <t>Recommended to perform 1 Full stand every 3 Connection to confirm the hole condition , especially as we are close to enter SHUB FM</t>
  </si>
  <si>
    <t>after having no return at 3717 ft MD, the SPP reduced from 1470 to 1300 PSI, indicating that the annulus still have cutting</t>
  </si>
  <si>
    <t>Recommended to Cont. Circulate and don’t cont. drill or go for connection till All Cutting cleared.</t>
  </si>
  <si>
    <t xml:space="preserve">DE forwarded the observation to rig and called </t>
  </si>
  <si>
    <t>From Broomstick and MSE correlation looks safe to POOH straight w/o short trip.</t>
  </si>
  <si>
    <t>Wiper trip is not required</t>
  </si>
  <si>
    <t>Sent  road Map to drill 12 in section by FM</t>
  </si>
  <si>
    <t>to follow proposed drilling parameters to get the Max ROP per each FM</t>
  </si>
  <si>
    <t>Discussed with DE to optemize parameters to enhance ROP</t>
  </si>
  <si>
    <t>Observed Low ROP compared with offset wells drilling same FM</t>
  </si>
  <si>
    <t>Metrics, Parameters comparison</t>
  </si>
  <si>
    <t>traces, Parameters comparison</t>
  </si>
  <si>
    <t>High MSE values observed with 130-150 SRPM resulted in Lower ROP</t>
  </si>
  <si>
    <t>applying same WOB with lower RPM the ROP enhanced</t>
  </si>
  <si>
    <t>Observed when applying 50 K WOB with the High TQ we have abound 18-20 ft-KIBf , string got stall and reflected on high MSE.</t>
  </si>
  <si>
    <t>Suspect Bit issue affecting drilling performance</t>
  </si>
  <si>
    <t>Achieved Double the ROP planned 106.8 fph / 16.5 hrs instead of 52 fph / 31.14 hrs</t>
  </si>
  <si>
    <t>after String got micro stall the Flow out % went to zero and later observed drop in SPP from 2400 to 2130 PSI as shown below.</t>
  </si>
  <si>
    <t>Check Pumps and Surface lines</t>
  </si>
  <si>
    <t>having an issue with the flow out sensor &amp; are working on correcting it. The SPP mud is being transferred &amp; we are weighting up</t>
  </si>
  <si>
    <t xml:space="preserve">achieved 38 hrs / 43.24 fph ROP &amp; planned 61.54 hrs </t>
  </si>
  <si>
    <t>While going back to bottom TQ micro stall 3 times at ~ 23flbs.ft to make better drilling dynamics RPM was reduced with high impact on ROP,</t>
  </si>
  <si>
    <t>Suggest to attack bottom slowly with 140 RPM and increase TQ tq limit to 26klbs.ft to maintain 100-120 fph. As a drill of test for 30min if formation and vibration allow.</t>
  </si>
  <si>
    <t>Follow sugestion</t>
  </si>
  <si>
    <t>After circulate prior to LFDH, resume drilling with controlled ROP</t>
  </si>
  <si>
    <t>Informed DE who immediately call the RIG to open ROP</t>
  </si>
  <si>
    <t xml:space="preserve">System has Alerted for approximately 18k overpull, </t>
  </si>
  <si>
    <t>Caution required and if still facing problem back ream should be initiated.</t>
  </si>
  <si>
    <t xml:space="preserve">achieved 31.75 hrs  &amp; planned 41.63 hrs </t>
  </si>
  <si>
    <t>Recommended to cont. POH to surface</t>
  </si>
  <si>
    <t>DE forwarded the observation to rig &amp; Superinend</t>
  </si>
  <si>
    <t>Sent Parameter comparison showing current VS offset wells</t>
  </si>
  <si>
    <t>Recommended to increase TDS TQ Limit to enhance ROP</t>
  </si>
  <si>
    <t>DE forwarded the observation to rig &amp; Called Foreman</t>
  </si>
  <si>
    <t xml:space="preserve">agreed to follow recommendation and Later ROP inhanced </t>
  </si>
  <si>
    <t>Parameters comparison, ROP Heah Map</t>
  </si>
  <si>
    <t>Sent Parameter comparison showing current VS offset wells, along with ROP Heat Map</t>
  </si>
  <si>
    <t>Recommended to increase SRPM and WOB to enhance ROP</t>
  </si>
  <si>
    <t>Sent TOH updated Broomsick showing all OH trip</t>
  </si>
  <si>
    <t>Following the drill off test already been performed by the rig, next step is watch for the DOC of drill bit, with high RPM the generated torque is less than same D.Bit in offset applications.</t>
  </si>
  <si>
    <t>For next stand we recommend to lower SRPM to 60, in order to increase DOC to generate more TQ/Diff pressure in attempt to enhance ROP.</t>
  </si>
  <si>
    <t xml:space="preserve">Recommended that autodriller set point should be adjusted to stop cyclical WOB and keep ROP open. </t>
  </si>
  <si>
    <t>DE sent the observation to rig &amp; Called Foreman</t>
  </si>
  <si>
    <t>Please check with the driller to stabilize the WOB as highlighted in email</t>
  </si>
  <si>
    <t>Drilled section in 53.25 (89.77), Planned 103.17 hrs (46.73 fph)</t>
  </si>
  <si>
    <t>Updated flat time comparison for All active wells</t>
  </si>
  <si>
    <t>Validated to br sent to All rigs</t>
  </si>
  <si>
    <t>Parameters comparison, ROP Heat Map</t>
  </si>
  <si>
    <t>Highlighted the effect of SRPM with ROP</t>
  </si>
  <si>
    <t>Recommended to Keep Max SRPM with respect to TQ Limit</t>
  </si>
  <si>
    <t>Asked DE To check with the rig why there was drop in WOB</t>
  </si>
  <si>
    <t>Recommended to increase WOB / Diff. Press. To enhance ROP</t>
  </si>
  <si>
    <t>DE Called Foreman</t>
  </si>
  <si>
    <t>W2W</t>
  </si>
  <si>
    <t>Sent Progress Summary indecating that the S2S &amp; B2S time is behind KPI</t>
  </si>
  <si>
    <t>Recommended at least to decrease S2S and the B2S time if there is no hole problems</t>
  </si>
  <si>
    <t>Observed many String Micro stall</t>
  </si>
  <si>
    <t>Trecommended to increase TDS TQ Limit to enhance ROP and avoide String Stall</t>
  </si>
  <si>
    <t>No feed back</t>
  </si>
  <si>
    <t xml:space="preserve">Observed that drilling has stopped at subject well, and pipe close to stationary w/o full circulation and 15 RPM off-bottom </t>
  </si>
  <si>
    <t>Recommended to contact rig to confirm if issue related to surface equipment</t>
  </si>
  <si>
    <t>Rig restored one pump back and resume drilling</t>
  </si>
  <si>
    <t xml:space="preserve">DE Tried reaching you on the phone, later confirmed 2 pumps went down simultaneously </t>
  </si>
  <si>
    <t>to double check slips area every connection before Rack back stand, and If OP/ tight spot observed try to pass is with soft reaming parameters till clear it then ensure free pass through it on elevator.</t>
  </si>
  <si>
    <t>Observed Last stand got some OP, after Passing it, Driller Broke Conn. And rack Back without checking being free within Slips area, then spent almost 8 min to break TDS prior PU new Stand.
When trying to PU new stand got Over pull. work string and regain rotation.</t>
  </si>
  <si>
    <t>Follow up on #369, observed OP while TOH, rig has started the remedial steps and brought up the pump flow rate</t>
  </si>
  <si>
    <t>To double check slips area every connection before Rack back stand, and If OP/ tight spot observed try to pass is with soft reaming parameters till clear it then ensure free pass through it on elevator.</t>
  </si>
  <si>
    <t>Rig already started remedial steps</t>
  </si>
  <si>
    <t>DE agrees and rig is aware of prior instance, recommendations were given</t>
  </si>
  <si>
    <t>ROP has improved with less impact on hole integrity</t>
  </si>
  <si>
    <t>Follow up on #370, Corva alerts has pop-up for overpull exceeding 15 klbf threshold at 5893' BD</t>
  </si>
  <si>
    <t>&lt;289</t>
  </si>
  <si>
    <t>DE decided no further communication were needed since rig is already pumping out</t>
  </si>
  <si>
    <t>HRDH-2602</t>
  </si>
  <si>
    <t>&lt;226</t>
  </si>
  <si>
    <t>We received an overpull alert on last connection at 848’ MD of 30 klbf.</t>
  </si>
  <si>
    <t>Recommended to ensure no obstruction and check slips area prior to going in-slips, and if possible WU/RM full stand.</t>
  </si>
  <si>
    <t>DE acknowledged and communicated with rig to check if approiate steps followed</t>
  </si>
  <si>
    <t>Rig has worked the slips zone, and recopricated the joint again prior to going for connection</t>
  </si>
  <si>
    <t>Drilled section in 85.25 hrs (65.43 fph), Planned 129.8 hrs (42.97fph)</t>
  </si>
  <si>
    <t xml:space="preserve">Recommended to reduce the TIH speed between 2-3 min per stand. To reduse stuck pipe risk and don't create Surge </t>
  </si>
  <si>
    <t>Observed High TIH speed, when obstruction encountered got over 15 K SO weight followed by OP</t>
  </si>
  <si>
    <t>Sent Progress Summary indecating that the W2W time is behind KPI</t>
  </si>
  <si>
    <t>Recommended to enhance the S2B and S2S time if possible</t>
  </si>
  <si>
    <t>Rig OPS, ILT</t>
  </si>
  <si>
    <t>Parametr Comparison, ILT</t>
  </si>
  <si>
    <t>Sent Progress Summary indecating that Rig Performing behind Best well with same Design in terms of ROP</t>
  </si>
  <si>
    <t>Recommended to increase Drilling parameters to match Best well record</t>
  </si>
  <si>
    <t>No feedback</t>
  </si>
  <si>
    <t>Sent Progress Summary indecating that the S2S time is behind KPI</t>
  </si>
  <si>
    <t>Recommended to enhance the S2S time if possible</t>
  </si>
  <si>
    <t>Highlighted rig perfomance on KPIs and DVD, as welll asbroomstick intervals of concern</t>
  </si>
  <si>
    <t>Provided the recommended tripping speed based on the GDED connection practices for trip out</t>
  </si>
  <si>
    <t>rig agreed to follow recommendations</t>
  </si>
  <si>
    <t>ILT &amp; Variance Summary, Rig Operation, DVD, Broomstick</t>
  </si>
  <si>
    <t>Sent Median Flat time analyses and KPI for Running Csg , BOP OPS &amp; WH OPS</t>
  </si>
  <si>
    <t xml:space="preserve">Recommended to follow 2026 KPI and </t>
  </si>
  <si>
    <t>Updated flat time comparison for All active wells (MK-1 &amp; K-2 Design)</t>
  </si>
  <si>
    <t>Ali Oitabi &amp; Ibrahim Alyami</t>
  </si>
  <si>
    <t>Updated Rig Rate Based on RDH Engineers Daily Rig Values</t>
  </si>
  <si>
    <t xml:space="preserve">As Per Sys Analyst </t>
  </si>
  <si>
    <t>Drilled section in 24 hrs / 58.13 fph and the Planned is 28.48 hrs / 49 fph</t>
  </si>
  <si>
    <t>Rig followed recommendation, it appeared in the ILT W2W saved time</t>
  </si>
  <si>
    <t>Due to Rig didn't follow recommendation, it appeared in the ILT W2W Potential saved time</t>
  </si>
  <si>
    <t>Will be cumulated at section TD for not duplicating same value</t>
  </si>
  <si>
    <t>Parametr Comparison</t>
  </si>
  <si>
    <t>Provided the updated parameter comparison chart as per DE request</t>
  </si>
  <si>
    <t>Current RPM used is 130 achieving 22’/hr ROP, while Roadmap recommendation is 137.5 , so,  we may increase to 140 and assess impact on ROP if improved</t>
  </si>
  <si>
    <t>We have roller reamer limits on RPM. with 60klbs WOB 130 rpm is max, if we increase rpm we have to reduce WOB to 50 klbs then as per spec sheet.</t>
  </si>
  <si>
    <t>Please see the lookahead with additional recommendations to consider while POH to change BHA to RSS</t>
  </si>
  <si>
    <t>DE forwarded the lookahead to rig</t>
  </si>
  <si>
    <t>rig to follow recommendations</t>
  </si>
  <si>
    <t>Broomstick, Rig Operation</t>
  </si>
  <si>
    <t>Provided prief broomstick and B2S, S2S only as requested by DE since POH is to change BHA</t>
  </si>
  <si>
    <t>Got OP Alert at 5635 ft MD while TOH</t>
  </si>
  <si>
    <t>Traces, Alert, HL Broom stick</t>
  </si>
  <si>
    <t>Recommended to move string down away from tight spot. try to pass it with soft reaming parameters till clear it then ensure free pass through it on elevator</t>
  </si>
  <si>
    <t>Saved .4 min x 100 stds</t>
  </si>
  <si>
    <t>Lost .3 min x 100 stds</t>
  </si>
  <si>
    <t>Had to Run Back To BTM as the well was trickling when FC at shoe</t>
  </si>
  <si>
    <t>As we have only drilled shoe plus 10’ FM, and since majority of BHA in casing, no significant risk imposed</t>
  </si>
  <si>
    <t>DE acknowledged and communicated with rig</t>
  </si>
  <si>
    <t>The rig is investigating a potential plugged choke problem with the WFD MPD System</t>
  </si>
  <si>
    <t>Received an alert for static (stationary) pipe detection</t>
  </si>
  <si>
    <t>Rig OPS, ILT, parameter comparison</t>
  </si>
  <si>
    <t>Sent Progress Summary indecating that the S2S &amp; S2B time is behind KPI</t>
  </si>
  <si>
    <t>2539 ft drilled with 40 fph / 63.5 hrs instead of 65 fph/ 39 hrs based on best well drilled this section (24.5)
Will be updated at section TD</t>
  </si>
  <si>
    <t>Observed ROP being limited (controlled) for some interval</t>
  </si>
  <si>
    <t>Recommended to open performance if possible</t>
  </si>
  <si>
    <t>Follow up on observation #417, included recent Drilling performance at 16” HS in Parameter comparison app</t>
  </si>
  <si>
    <t>Current well has two other offsets which were overperforming</t>
  </si>
  <si>
    <t>DE has shared it to rig, with recommendation on surface issues hindering ROP</t>
  </si>
  <si>
    <t>DE in discussion with the rig foreman</t>
  </si>
  <si>
    <t>Received an alert for pressure loss, accompanied by drop in Flow out %</t>
  </si>
  <si>
    <t>As we drill in SHUB losses are expected, it is recommended to follow the remedial plan in the DWOP</t>
  </si>
  <si>
    <t>Pumped LCM pill and drill ahead, while prepare for the event of Total Losses</t>
  </si>
  <si>
    <t>DE contacted rig and confirmed we're experiencing momentary loss and return of circulation in SHUB</t>
  </si>
  <si>
    <t xml:space="preserve">Follow up on observation #419, included the blind drilling procedures in SHUB, since we recently started to experience Total Losses </t>
  </si>
  <si>
    <t>Also referencing the Twist off recommendation</t>
  </si>
  <si>
    <t>Rig is to follow the recommendations given</t>
  </si>
  <si>
    <t>Highlighted currevt ROP Median Performance</t>
  </si>
  <si>
    <t xml:space="preserve">Sent expected Flat time for running 13 3/8 in Csg, BOP &amp; WH </t>
  </si>
  <si>
    <t xml:space="preserve">Recommended to finish OPS withen the median time </t>
  </si>
  <si>
    <t>Rig OPS, ILT, DVD</t>
  </si>
  <si>
    <t>Recommended to increase SRPM &amp; WOB if with respect to TQ</t>
  </si>
  <si>
    <t>Recommended to enhance the W2W time if possible</t>
  </si>
  <si>
    <t>HRDH-5009</t>
  </si>
  <si>
    <t>Sent the recent Drilling performance and projection to AHMD (CP) as requested from the Parameter Comparison app</t>
  </si>
  <si>
    <t>HRDH-2645 appears to be the benchmark at this stage (96’/hr), however, we’re not very far off 93.75’/hr instantaneous ROP</t>
  </si>
  <si>
    <t>DE requested to send the comparison to him, and he'll share it with rig</t>
  </si>
  <si>
    <t>Advised to explore the roadmap recommendations below and check if improved</t>
  </si>
  <si>
    <t>Noticed drop in ROP performance observed while drilling as seen comparable to offset wells</t>
  </si>
  <si>
    <t>DE called and forwarded the observation to rig (he faced issues reaching rig by phone)</t>
  </si>
  <si>
    <t>Agreed to follow the recommendation given</t>
  </si>
  <si>
    <t>traces, alert</t>
  </si>
  <si>
    <t>Sent intervention with the observation</t>
  </si>
  <si>
    <t>Observed ROP was controlled to 18 fph</t>
  </si>
  <si>
    <t xml:space="preserve">Recommended to increase ROP if it is not related to Directional work </t>
  </si>
  <si>
    <t>DE Called Rig and replied by email</t>
  </si>
  <si>
    <t>MONITOR_STA_DTTM</t>
  </si>
  <si>
    <t>MONITOR_END_DTTM</t>
  </si>
  <si>
    <t>RTOC CA</t>
  </si>
  <si>
    <t>cost included</t>
  </si>
  <si>
    <t>Rig</t>
  </si>
  <si>
    <t>Well</t>
  </si>
  <si>
    <t>Days Saved</t>
  </si>
  <si>
    <t>Cost Avoidance US$</t>
  </si>
  <si>
    <t>YES</t>
  </si>
  <si>
    <t>HRDH-2650</t>
  </si>
  <si>
    <t> $              29,366</t>
  </si>
  <si>
    <t>HRDH-2680</t>
  </si>
  <si>
    <t> $              15,133</t>
  </si>
  <si>
    <t>HRDH-2617</t>
  </si>
  <si>
    <t> $              12,588</t>
  </si>
  <si>
    <t> $                6,359</t>
  </si>
  <si>
    <t>HRDH-2601</t>
  </si>
  <si>
    <t>Total</t>
  </si>
  <si>
    <t>Drilled section in 15.5 hrs / 110.32 fph and the Planned is 29.96 hrs / 53.5 fph</t>
  </si>
  <si>
    <t>Observed Performing with Avg ROP</t>
  </si>
  <si>
    <t>Recommended to increase Drlg Paramters if possible to compansate for the time we STBY for water supply</t>
  </si>
  <si>
    <t>observed a dramatic drop in ROP once entered MNJR FM as per prognoses depth @ 8920 ft MD</t>
  </si>
  <si>
    <t>Recommended to re evaluate the TDS TQ limit and try to drill with lower SRPM and higher WOB.</t>
  </si>
  <si>
    <t>observed and got Alert for High Stuck pipe Index  due to Break over HL</t>
  </si>
  <si>
    <t>Sent Progress Summary indecating that the S2S time is behind KPI+Table4[@[Recommendation]:[RTOC Comments]]</t>
  </si>
  <si>
    <t>Sent Progress Summary for 16" HS indicating Flat Time breakdown and durations while drilling as requested by DE</t>
  </si>
  <si>
    <t>DE to communicate finding with rig crew and areas of imporvement</t>
  </si>
  <si>
    <t>sent screen shot showing that we are achieving 50% of ROP compared with offset wells</t>
  </si>
  <si>
    <t>DE discussed with his team to POH to  change Bit</t>
  </si>
  <si>
    <t>Observed Performing with Avg ROP behaind targt</t>
  </si>
  <si>
    <t>recommended to improved for B2S &amp; S2B time . The actual W2W is 22 min and the target KPI is 20 min</t>
  </si>
  <si>
    <t>Recommended to increase SRPM ( With respect to TQ) &amp; Flow rate with reference to offset wells to enhance ROP</t>
  </si>
  <si>
    <t>Validated intervention, will POH to change Bridge plat position</t>
  </si>
  <si>
    <t>Parameters comparison, traces</t>
  </si>
  <si>
    <t>Recommended to PU off BTM and check as the SPP increased from 3900 to 4080 PSI. If all ok we can restart drilling again</t>
  </si>
  <si>
    <t>At 10358 ft MD observed a dramatic drop in ROP from 75 to 10 fph</t>
  </si>
  <si>
    <t>Confirmed that we entered JILH FM</t>
  </si>
  <si>
    <t>Parameter Compariosn</t>
  </si>
  <si>
    <t>Send the roadmap generated based on offsets for the upcoming 16” HS</t>
  </si>
  <si>
    <t>Gave recommendations for surface parameters used to achieve desired ROP performance</t>
  </si>
  <si>
    <t>DE reveiwed and wll share with the Rig for execution</t>
  </si>
  <si>
    <t>The value is added by section TD comparing the Planned drilling hours VS actual drilling hours</t>
  </si>
  <si>
    <t>Rg to follow the recommended parameters</t>
  </si>
  <si>
    <t>Increased casing pressure observed while Flow check</t>
  </si>
  <si>
    <t>DE validated and contacted rig to confirm</t>
  </si>
  <si>
    <t>Rig confirmed no issues and FC was precautionary</t>
  </si>
  <si>
    <t>Observed controlling ROP to 60 fph</t>
  </si>
  <si>
    <t>Recommended to enhance ROP</t>
  </si>
  <si>
    <t>Drilled in 29.75 hrs/61.08 fph, Planned 41.27 hrs 44 fph</t>
  </si>
  <si>
    <t>Drilled in 55.25 hrs / 31.11 fph, Planned 60.18 hrs / 50 fph</t>
  </si>
  <si>
    <t>Parameter Comparison, ILT, Rig Operations</t>
  </si>
  <si>
    <t>Sent Progress Summary indicating ROP drop and W2W behind on KPI</t>
  </si>
  <si>
    <t>Recommended to revise RPM used and imporvement on B2S &amp; S2B and W2W times</t>
  </si>
  <si>
    <t xml:space="preserve">Rig will try to improve, for the RPM observed drop on ROP and were trying and evaluating with different parameters to got more ROP. </t>
  </si>
  <si>
    <t>Flat Time</t>
  </si>
  <si>
    <t>Recommended to follow the benchmark mark given, and meet or exceed KPIs</t>
  </si>
  <si>
    <t>Rig agreed to follow recommendation</t>
  </si>
  <si>
    <t>As 7” LP reached, provided the MK-1 Average and Median Flat Time for CSG / BOP / WELL HEAD along with 2026 KPIs</t>
  </si>
  <si>
    <t>Follow up on observation #427, as plan changed from Conventional Liner to Liner w/ MPD note impact on KPI, provided most comparable offset from SND-2013 / HRDH-2601 where ran 7" Liner w/ MPD</t>
  </si>
  <si>
    <t>Parameter Comparison, , DVD, ILT, Rig Operations</t>
  </si>
  <si>
    <t>Sent Progress Summary indicating ROP improvement, as well as Connection KPI</t>
  </si>
  <si>
    <t>Recommended a potential imporment of ROP as expected in roadmap</t>
  </si>
  <si>
    <t>FLAT TIME, ILT</t>
  </si>
  <si>
    <t>Sent summary for Rig performance</t>
  </si>
  <si>
    <t>Recommended to work on Flat time to compansate the delay</t>
  </si>
  <si>
    <t>Highlighted withen broomstick intervals of concern</t>
  </si>
  <si>
    <t>Got Alert for Csg Pressure increase</t>
  </si>
  <si>
    <t>To check with Rig if Performing any testing</t>
  </si>
  <si>
    <t>As PER RDH records</t>
  </si>
  <si>
    <t>Kindly note an overpull alert received for subject well at 6230’ MD</t>
  </si>
  <si>
    <t>Highlighted the incident to DE and recommended to follow steps outlined in the lookahead send earlier</t>
  </si>
  <si>
    <t>DE forwarded to rig</t>
  </si>
  <si>
    <t>Possible momentary delays getting off the slips as hole appears slick overall</t>
  </si>
  <si>
    <t>As 13-3/8” CP reached, provided the K-2 Mean and Median Average Flat Time for CSG / BOP / WELL HEAD based on the selected offsets along with Aramco 2026 KPIs.</t>
  </si>
  <si>
    <t>Rig communicated concern for this well is keeping it under control &amp; mitigating losses, so, KPIs not applicable</t>
  </si>
  <si>
    <t>Parameter Comparison, DVD</t>
  </si>
  <si>
    <t>To follow up on performance highlights, below are the performance so far compared to offsets.</t>
  </si>
  <si>
    <t xml:space="preserve"> It recommended to keep optimizing/maximizing parameters for best ROPs.</t>
  </si>
  <si>
    <t>DE sent the observation to rig</t>
  </si>
  <si>
    <t>Recommended to not force the liner throught, and work it smoothly, and wash down if needed</t>
  </si>
  <si>
    <t>DE said will let the rig deal with it for now, will contact him later when available</t>
  </si>
  <si>
    <t>No Feedback</t>
  </si>
  <si>
    <t>Observed potential obstruction while running 7” liner w/ MPC at 10360’</t>
  </si>
  <si>
    <t>A total of 12 min for W2W &amp; 10 min for TIH inside Csg for the hole 22in Section</t>
  </si>
  <si>
    <t>As per Sys Analyst  (63,446.5$)</t>
  </si>
  <si>
    <t>for being behind target KPI in TIH &amp; TOH speed and Csg-Csg TIH speed from ILT 16" section</t>
  </si>
  <si>
    <t>Planned to finish section in 2 runs (293 hrs), actual did it in 3 runs with total 258.75 hrs includes tripping time. Confirmed with Awotu DE</t>
  </si>
  <si>
    <t>Lost total of 1 hr for W2W time 1 min in each Connection from ILT app</t>
  </si>
  <si>
    <t>Due to having MPD in this section the KPI target  will not be applied</t>
  </si>
  <si>
    <t>Parameters Comparison, Traces</t>
  </si>
  <si>
    <t>Observed drop in ROP compared with Offsets</t>
  </si>
  <si>
    <t>Recommended to increase WOB with respect to TQ</t>
  </si>
  <si>
    <t>Observed potential obstruction while TOH w/ MPC at 11819’</t>
  </si>
  <si>
    <t>Recommended to not to overpull more than 15 klbf, and back ream in necessary to work the obstruction as per lookahead sent</t>
  </si>
  <si>
    <t xml:space="preserve">To keep the OP limit to 15K. if we see increasing OP, let’s resort to back reaming and avoid pulling through tight spots </t>
  </si>
  <si>
    <t>DE called the rig foreman and discussed</t>
  </si>
  <si>
    <t>Observed rig is controlling ROP at 250 fph</t>
  </si>
  <si>
    <t>Traces, Parameters Comparison</t>
  </si>
  <si>
    <t>Observed rig is controlling ROP at 350 fph</t>
  </si>
  <si>
    <t>Recommended not to control ROP for better performance</t>
  </si>
  <si>
    <t>Recommended tripping speed and backream within the specified limits if required</t>
  </si>
  <si>
    <t>Highlighted the intervals of concern the section progress and overall performance, and flat time averages for casing</t>
  </si>
  <si>
    <t>Observed obstruction/tight spot following drill off prior to connection</t>
  </si>
  <si>
    <t>Recommended once able to work stick up zone and ensure free prior to connection, also work full stand instead of single</t>
  </si>
  <si>
    <t>DE contacted rig to confirm issue</t>
  </si>
  <si>
    <t>Tight spot is clear now. Foreman is servicing TDS and will resume drilling shortly</t>
  </si>
  <si>
    <t>Ended with 82.5  hrs VS 74.97 hrs Planned</t>
  </si>
  <si>
    <t>Sent Progress Summary indecating being behind  in all KPIs</t>
  </si>
  <si>
    <t>Highlighted loosing 20 hrs with this performance</t>
  </si>
  <si>
    <t>no feed back yet</t>
  </si>
  <si>
    <t>RTOC/RDH Validation (Y/N)</t>
  </si>
  <si>
    <t>Recommended not to force/slack casing beyond limit, and to establish circulation if possible to wash down instead</t>
  </si>
  <si>
    <t xml:space="preserve">Potential obstruction observed while running 13-3/8" casing, also seen separation of the S/O samples </t>
  </si>
  <si>
    <t>Rig to follow recommendation</t>
  </si>
  <si>
    <t>Confirmed calibrating Csg Shock Gague</t>
  </si>
  <si>
    <t>Will be confirmed again once liner on BTM, as per DE ( will be in 2nd week of April)</t>
  </si>
  <si>
    <t>Provided detailed instruction on how and where to access the requested information</t>
  </si>
  <si>
    <t>Oladele (RTOC) requested actual measured data for Aramco wells drilled with CORVA RT Monitoring System</t>
  </si>
  <si>
    <t>He's reviewing the information provided and will revert if needed</t>
  </si>
  <si>
    <t>Oladele Owoeye</t>
  </si>
  <si>
    <t>Broomstick, ILT, Rig Ops, Drilling Time Anaylsis</t>
  </si>
  <si>
    <t>Drilled in 13 hrs/130.23 fph, Planned 29.9 hrs/56.5 fph (DCIP)</t>
  </si>
  <si>
    <t>The value is added by section TD</t>
  </si>
  <si>
    <t>Cost Saving (hrs)</t>
  </si>
  <si>
    <t>Potential Cost Avoidance (hrs)</t>
  </si>
  <si>
    <t>Cost Saving/Potential Cost Avoidance Justification</t>
  </si>
  <si>
    <t>$ Cost Saving</t>
  </si>
  <si>
    <t>$ Potential Cost Avoidance</t>
  </si>
  <si>
    <t>Total hrs forW2W &amp; Tripping speed, sent ruslted performance via email</t>
  </si>
  <si>
    <t xml:space="preserve">Sent 12" Drilling Road Map </t>
  </si>
  <si>
    <t>Offset driller road map, Parameter comparison</t>
  </si>
  <si>
    <t xml:space="preserve">Recommended to follow proposed parameters for each FM </t>
  </si>
  <si>
    <t>DE Forawrd Drilling stratigy to Rig</t>
  </si>
  <si>
    <t>Based on our parameter comparison based interventions, and not controlling ROP, a record section has succesfully been achieved</t>
  </si>
  <si>
    <t>agreed to follow recommendations</t>
  </si>
  <si>
    <t>DE forwarded the observations to rig</t>
  </si>
  <si>
    <t>DE has confirmed the findings and shared his feedback to rig</t>
  </si>
  <si>
    <t>Calculated the ROP performance of the section from morning report</t>
  </si>
  <si>
    <t>Recommendation shared for Connection &amp; Tripping speed while Drilling and Tripping to reduce the lost time as much as possible</t>
  </si>
  <si>
    <t>Skipped Wiper Trip, hrs has been added based on RDC DE Report (7.5 hr for 16" in MK-1)</t>
  </si>
  <si>
    <t>Based on the overall section performance summary, calculated the potential cost avoidance from KPIs such as W2W, and Tripping speed (while excluding ROP)</t>
  </si>
  <si>
    <t>ILT, Rig Operations</t>
  </si>
  <si>
    <t>Recommended to skip as no indication seen of requiring a dedicated Wiper Trip</t>
  </si>
  <si>
    <t>Updated broomstick shared at TD to assess Wiper Trip's necessity to hole condition and we have been closely monitoring while POH to shoe in case of excessive B/R</t>
  </si>
  <si>
    <t>Lookahead</t>
  </si>
  <si>
    <t>Twist off</t>
  </si>
  <si>
    <t>1.5hr in KPIs potential cost avoidance (lost), Top 3 Opportunities are Cased Hole Tripping In Speed (With Connection): 41.5%, Slips to Slips: 40.5%, Cased Hole Tripping Out Speed (With Connection): 36.9%</t>
  </si>
  <si>
    <t>Recommended to drill off &amp; PU 20-30 ft to release all string TQ then tag BTM gently and restart drilling with lower weight in beginning and increase it gradually</t>
  </si>
  <si>
    <t>Obsrved string micro stall with WOB reflected in high TQ, while being close to enter MNJR FM</t>
  </si>
  <si>
    <t>Although the Connection time is around 2 min, but the tripping speed is behind KPI (20 STD/hr), Actual 17 std/hr</t>
  </si>
  <si>
    <t xml:space="preserve">Recommended to enhance tripping speed if applicable safely. </t>
  </si>
  <si>
    <t>Sent Progress Summary indecating that the trippinng speed time is behind KPI</t>
  </si>
  <si>
    <t>Recommended to enhance tripping speed inside Casing if possible</t>
  </si>
  <si>
    <t xml:space="preserve">send Broomstick summary indecates no Major issues </t>
  </si>
  <si>
    <t>Will be confirmed again once liner on BTM,</t>
  </si>
  <si>
    <t>An observed area of improvement is S2S at 5.81 on avg. where Aramco KPI is 4 min</t>
  </si>
  <si>
    <t>Recommended to enhance S2S as per Aramco KPI goals</t>
  </si>
  <si>
    <t>KPI Related: Indicated cost avoidance (lost) of 5.42 min, which to be added by section TD</t>
  </si>
  <si>
    <t>An overpull alert received at 8860' of 45 klbf</t>
  </si>
  <si>
    <t>Recommended Maximum overpull is 15 klbf, If OP/ tight spot observed try to pass w/ soft reaming parameters till clear, then ensure free pass through it w/o rotation or flow</t>
  </si>
  <si>
    <t>DE validated the observation, and contacted rig</t>
  </si>
  <si>
    <t>DE validated the observation, and rig is imporving on KPIs</t>
  </si>
  <si>
    <t>None</t>
  </si>
  <si>
    <t>ILT &amp; Variance Summary, Parameter Comparison</t>
  </si>
  <si>
    <t>After performing what we recommended ROP enhanced from 35 to 150 fph
at TD, Actual 76.75 hrs / 72.95 fph , Planned DCIP 163.85 hrs / 33.45 fph</t>
  </si>
  <si>
    <t>Trases, Alert</t>
  </si>
  <si>
    <t>while POH, PU weight 330 KIbf, got OP up to 360 KIbf at Block Hight 55 ft, Driller went down to 50 ft Block Hight then directly connected the TDS.</t>
  </si>
  <si>
    <t>Recommended to Go down directly away from tight spot and make Sure being free, then connect TDS</t>
  </si>
  <si>
    <t>Observed Rig Crew consuming a lot of time in S2S</t>
  </si>
  <si>
    <t>Recommended to enhance the connetion time</t>
  </si>
  <si>
    <t xml:space="preserve">Later observed S2S time enhanced </t>
  </si>
  <si>
    <t>Traces, broomstick</t>
  </si>
  <si>
    <t>~0</t>
  </si>
  <si>
    <t>Observed high TQ/Stall at 6232’ prior to connection, suspected unable to rotate</t>
  </si>
  <si>
    <t>Recommnended to confirm with rig root cause if surface or downhole issue</t>
  </si>
  <si>
    <t>DE forwarded observation to rig along recommendations</t>
  </si>
  <si>
    <t>Rig foreman confirmed Topdrive issue which has been resolved</t>
  </si>
  <si>
    <t>It is recommended to keep optimizing parameters and maximizing on WOB &amp; RPM to achieve the highest ROP possible</t>
  </si>
  <si>
    <t>DE send the observation to rig</t>
  </si>
  <si>
    <t>Current ROP is lower that highest performer offset at recent interval which is HRDH-2481</t>
  </si>
  <si>
    <t>sent observation showing Rig night Crew consuming a lot of time in S2S than day shift</t>
  </si>
  <si>
    <t>HL Broomstick, Traces</t>
  </si>
  <si>
    <t>ROT wt</t>
  </si>
  <si>
    <t>Observed after having TDS Rotation stopped event, all weights shifted</t>
  </si>
  <si>
    <t>Recommended to recalibrate Rig hookload, or we adjust our HL Broomstick</t>
  </si>
  <si>
    <t>Foreman confirmed no Calibration done</t>
  </si>
  <si>
    <t>2.4 hr Lost in tripping speed Only</t>
  </si>
  <si>
    <t>Parameters Comparison, DVD</t>
  </si>
  <si>
    <t>Recommended to keep optimizing parameters and maximizing on WOB &amp; RPM to achieve the highest ROP possible.</t>
  </si>
  <si>
    <t>A follow up on performance highlight (intervention #463), The drilling is excellent so far</t>
  </si>
  <si>
    <t>Observed drilling with low parameters compared with offset wells</t>
  </si>
  <si>
    <t>Recommended to increase WOB and RPM</t>
  </si>
  <si>
    <t>RDH Called Foreman</t>
  </si>
  <si>
    <t>Pushed DD to increasse Parameters but due to Vib&amp;shocks the Dd couldn't increase it</t>
  </si>
  <si>
    <t>Will confirm at section TD</t>
  </si>
  <si>
    <t>Last Joint had a big jump in PU HL weight</t>
  </si>
  <si>
    <t>Recommended to increase Flow rate if possible while washing down</t>
  </si>
  <si>
    <t>Agreed to increase flow while WD</t>
  </si>
  <si>
    <t>to be confirmed when Csg on BTM (8hrs for 60 Stands in wiper trip)</t>
  </si>
  <si>
    <t>Sent Progress Summary showing the improvement achieved in W2W &amp; S2S time</t>
  </si>
  <si>
    <t>Needs confirmation at TD from Drill eye</t>
  </si>
  <si>
    <t>Total saved time for W2W utilizing new connection Practice</t>
  </si>
  <si>
    <t>Alert, Traces</t>
  </si>
  <si>
    <t>Observed high overpull 7600ft</t>
  </si>
  <si>
    <t xml:space="preserve">Recommened to BR the area </t>
  </si>
  <si>
    <t>They managed to back-ream the tight spot, RIH below it and pull out with no RPM.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</si>
</sst>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quot;/&quot;mm&quot;/&quot;yy"/>
    <numFmt numFmtId="165" formatCode="hh&quot;:&quot;mm"/>
    <numFmt numFmtId="166" formatCode="&quot;$&quot;#,##0.00"/>
    <numFmt numFmtId="167" formatCode="mm/dd/yy"/>
  </numFmts>
  <fonts count="15"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Calibri"/>
      <family val="2"/>
    </font>
    <font>
      <sz val="11"/>
      <color rgb="FF000000"/>
      <name val="Calibri"/>
      <family val="2"/>
    </font>
    <font>
      <sz val="10"/>
      <color rgb="FF000000"/>
      <name val="Arial"/>
      <family val="2"/>
    </font>
    <font>
      <u/>
      <sz val="11"/>
      <color rgb="FF000000"/>
      <name val="Calibri"/>
      <family val="2"/>
    </font>
    <font>
      <sz val="10"/>
      <color theme="1"/>
      <name val="Arial"/>
      <family val="2"/>
      <scheme val="minor"/>
    </font>
    <font>
      <sz val="10"/>
      <color rgb="FF000000"/>
      <name val="Arial"/>
      <family val="2"/>
      <scheme val="minor"/>
    </font>
    <font>
      <sz val="8"/>
      <name val="Arial"/>
      <family val="2"/>
      <scheme val="minor"/>
    </font>
    <font>
      <sz val="11"/>
      <color theme="0"/>
      <name val="Arial"/>
      <family val="2"/>
      <scheme val="minor"/>
    </font>
    <font>
      <b/>
      <sz val="11"/>
      <color rgb="FF000000"/>
      <name val="Calibri"/>
      <family val="2"/>
    </font>
    <font>
      <b/>
      <sz val="10"/>
      <color rgb="FF000000"/>
      <name val="Arial"/>
      <family val="2"/>
      <scheme val="minor"/>
    </font>
    <font>
      <b/>
      <sz val="14"/>
      <color rgb="FF000000"/>
      <name val="Arial Narrow"/>
      <family val="2"/>
    </font>
  </fonts>
  <fills count="13">
    <fill>
      <patternFill patternType="none"/>
    </fill>
    <fill>
      <patternFill patternType="gray125"/>
    </fill>
    <fill>
      <patternFill patternType="solid">
        <fgColor theme="4" tint="0.79998168889431442"/>
        <bgColor rgb="FFDCE6F1"/>
      </patternFill>
    </fill>
    <fill>
      <patternFill patternType="solid">
        <fgColor theme="4" tint="0.79998168889431442"/>
        <bgColor rgb="FFFFFFFF"/>
      </patternFill>
    </fill>
    <fill>
      <patternFill patternType="solid">
        <fgColor theme="4" tint="0.79998168889431442"/>
        <bgColor rgb="FFD9E2F3"/>
      </patternFill>
    </fill>
    <fill>
      <patternFill patternType="solid">
        <fgColor theme="4" tint="0.79998168889431442"/>
        <bgColor rgb="FFF6F8F9"/>
      </patternFill>
    </fill>
    <fill>
      <patternFill patternType="solid">
        <fgColor theme="4" tint="0.79998168889431442"/>
        <bgColor rgb="FFE1E5EB"/>
      </patternFill>
    </fill>
    <fill>
      <patternFill patternType="solid">
        <fgColor theme="4" tint="0.79998168889431442"/>
        <bgColor rgb="FFFFFF00"/>
      </patternFill>
    </fill>
    <fill>
      <patternFill patternType="solid">
        <fgColor theme="4" tint="0.79998168889431442"/>
        <bgColor indexed="64"/>
      </patternFill>
    </fill>
    <fill>
      <patternFill patternType="solid">
        <fgColor rgb="FF356854"/>
        <bgColor rgb="FF356854"/>
      </patternFill>
    </fill>
    <fill>
      <patternFill patternType="solid">
        <fgColor theme="3"/>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rgb="FF356854"/>
      </top>
      <bottom/>
      <diagonal/>
    </border>
    <border>
      <left style="thin">
        <color auto="1"/>
      </left>
      <right/>
      <top style="thin">
        <color auto="1"/>
      </top>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s>
  <cellStyleXfs count="3">
    <xf numFmtId="0" fontId="0" fillId="0" borderId="0"/>
    <xf numFmtId="0" fontId="9" fillId="0" borderId="0"/>
    <xf numFmtId="0" fontId="3" fillId="0" borderId="0"/>
  </cellStyleXfs>
  <cellXfs count="89">
    <xf numFmtId="0" fontId="0" fillId="0" borderId="0" xfId="0"/>
    <xf numFmtId="0" fontId="4" fillId="0" borderId="0" xfId="0" applyFont="1" applyAlignment="1">
      <alignment horizontal="center" vertical="center"/>
    </xf>
    <xf numFmtId="164" fontId="4" fillId="0" borderId="0" xfId="0" applyNumberFormat="1" applyFont="1" applyAlignment="1">
      <alignment horizontal="center" vertical="center"/>
    </xf>
    <xf numFmtId="165" fontId="4" fillId="0" borderId="0" xfId="0" applyNumberFormat="1" applyFont="1" applyAlignment="1">
      <alignment horizontal="center" vertical="center"/>
    </xf>
    <xf numFmtId="166" fontId="4" fillId="0" borderId="0" xfId="0" applyNumberFormat="1" applyFont="1" applyAlignment="1">
      <alignment horizontal="center" vertical="center"/>
    </xf>
    <xf numFmtId="164" fontId="8" fillId="0" borderId="0" xfId="0" applyNumberFormat="1" applyFont="1"/>
    <xf numFmtId="165" fontId="8" fillId="0" borderId="0" xfId="0" applyNumberFormat="1" applyFont="1"/>
    <xf numFmtId="166" fontId="8" fillId="0" borderId="0" xfId="0" applyNumberFormat="1" applyFont="1"/>
    <xf numFmtId="3" fontId="5" fillId="2" borderId="1" xfId="0" applyNumberFormat="1" applyFont="1" applyFill="1" applyBorder="1" applyAlignment="1">
      <alignment horizontal="center" vertical="center"/>
    </xf>
    <xf numFmtId="14" fontId="5" fillId="2" borderId="1" xfId="0" applyNumberFormat="1" applyFont="1" applyFill="1" applyBorder="1" applyAlignment="1">
      <alignment horizontal="center" vertical="center"/>
    </xf>
    <xf numFmtId="165"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66" fontId="5" fillId="2" borderId="1" xfId="0" applyNumberFormat="1" applyFont="1" applyFill="1" applyBorder="1" applyAlignment="1">
      <alignment horizontal="center" vertical="center"/>
    </xf>
    <xf numFmtId="9" fontId="5" fillId="2" borderId="1" xfId="0" applyNumberFormat="1" applyFont="1" applyFill="1" applyBorder="1" applyAlignment="1">
      <alignment horizontal="center" vertical="center"/>
    </xf>
    <xf numFmtId="14" fontId="5"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3" borderId="1" xfId="0" applyFont="1" applyFill="1" applyBorder="1" applyAlignment="1">
      <alignment horizontal="center" vertical="center"/>
    </xf>
    <xf numFmtId="166" fontId="5" fillId="4" borderId="1" xfId="0" applyNumberFormat="1" applyFont="1" applyFill="1" applyBorder="1" applyAlignment="1">
      <alignment horizontal="center" vertical="center"/>
    </xf>
    <xf numFmtId="14" fontId="5" fillId="4" borderId="1" xfId="0" applyNumberFormat="1" applyFont="1" applyFill="1" applyBorder="1" applyAlignment="1">
      <alignment horizontal="center" vertical="center"/>
    </xf>
    <xf numFmtId="165" fontId="5" fillId="4"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0" fontId="7" fillId="2" borderId="1" xfId="0" applyFont="1" applyFill="1" applyBorder="1" applyAlignment="1">
      <alignment horizontal="center" vertical="center"/>
    </xf>
    <xf numFmtId="0" fontId="6" fillId="2" borderId="1" xfId="0" applyFont="1" applyFill="1" applyBorder="1" applyAlignment="1">
      <alignment horizontal="center" vertical="center"/>
    </xf>
    <xf numFmtId="166" fontId="6" fillId="2"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165" fontId="5" fillId="6" borderId="1" xfId="0" applyNumberFormat="1" applyFont="1" applyFill="1" applyBorder="1" applyAlignment="1">
      <alignment horizontal="center" vertical="center"/>
    </xf>
    <xf numFmtId="165" fontId="5" fillId="7"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14" fontId="5" fillId="6"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66" fontId="5" fillId="6" borderId="1" xfId="0" applyNumberFormat="1" applyFont="1" applyFill="1" applyBorder="1" applyAlignment="1">
      <alignment horizontal="center" vertical="center"/>
    </xf>
    <xf numFmtId="0" fontId="0" fillId="8" borderId="1" xfId="0" applyFill="1" applyBorder="1" applyAlignment="1">
      <alignment horizontal="center" vertical="center"/>
    </xf>
    <xf numFmtId="164" fontId="8" fillId="8" borderId="1" xfId="0" applyNumberFormat="1" applyFont="1" applyFill="1" applyBorder="1" applyAlignment="1">
      <alignment horizontal="center" vertical="center"/>
    </xf>
    <xf numFmtId="165" fontId="8" fillId="8" borderId="1" xfId="0" applyNumberFormat="1" applyFont="1" applyFill="1" applyBorder="1" applyAlignment="1">
      <alignment horizontal="center" vertical="center"/>
    </xf>
    <xf numFmtId="0" fontId="5" fillId="6" borderId="1" xfId="1" applyFont="1" applyFill="1" applyBorder="1" applyAlignment="1">
      <alignment horizontal="center" vertical="center"/>
    </xf>
    <xf numFmtId="0" fontId="8" fillId="6" borderId="2" xfId="1" applyFont="1" applyFill="1" applyBorder="1" applyAlignment="1">
      <alignment horizontal="center" vertical="center"/>
    </xf>
    <xf numFmtId="0" fontId="5" fillId="8" borderId="1" xfId="0" applyFont="1" applyFill="1" applyBorder="1" applyAlignment="1">
      <alignment horizontal="center" vertical="center"/>
    </xf>
    <xf numFmtId="165" fontId="5" fillId="8" borderId="1" xfId="0" applyNumberFormat="1" applyFont="1" applyFill="1" applyBorder="1" applyAlignment="1">
      <alignment horizontal="center" vertical="center"/>
    </xf>
    <xf numFmtId="0" fontId="6" fillId="8" borderId="1" xfId="0" applyFont="1" applyFill="1" applyBorder="1" applyAlignment="1">
      <alignment horizontal="center" vertical="center"/>
    </xf>
    <xf numFmtId="166" fontId="5" fillId="8" borderId="1" xfId="0" applyNumberFormat="1" applyFont="1" applyFill="1" applyBorder="1" applyAlignment="1">
      <alignment horizontal="center" vertical="center"/>
    </xf>
    <xf numFmtId="0" fontId="0" fillId="8" borderId="0" xfId="0" applyFill="1"/>
    <xf numFmtId="0" fontId="9" fillId="8" borderId="1" xfId="0" applyFont="1" applyFill="1" applyBorder="1" applyAlignment="1">
      <alignment horizontal="center" vertical="center"/>
    </xf>
    <xf numFmtId="0" fontId="0" fillId="8" borderId="1" xfId="0" applyFill="1" applyBorder="1" applyAlignment="1">
      <alignment horizontal="center" vertical="center" wrapText="1"/>
    </xf>
    <xf numFmtId="0" fontId="4" fillId="0" borderId="0" xfId="0" applyFont="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0" borderId="0" xfId="0" applyAlignment="1">
      <alignment wrapText="1"/>
    </xf>
    <xf numFmtId="0" fontId="9" fillId="8" borderId="1" xfId="0" applyFont="1" applyFill="1" applyBorder="1" applyAlignment="1">
      <alignment horizontal="center" vertical="center" wrapText="1"/>
    </xf>
    <xf numFmtId="0" fontId="11" fillId="0" borderId="0" xfId="2" applyFont="1" applyAlignment="1">
      <alignment vertical="center"/>
    </xf>
    <xf numFmtId="0" fontId="3" fillId="0" borderId="0" xfId="2"/>
    <xf numFmtId="0" fontId="11" fillId="0" borderId="0" xfId="2" applyFont="1" applyAlignment="1">
      <alignment horizontal="center" vertical="center"/>
    </xf>
    <xf numFmtId="0" fontId="4" fillId="9"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2" fillId="0" borderId="0" xfId="2" applyFont="1"/>
    <xf numFmtId="167" fontId="8" fillId="8" borderId="1" xfId="0" applyNumberFormat="1" applyFont="1" applyFill="1" applyBorder="1" applyAlignment="1">
      <alignment horizontal="center" vertical="center"/>
    </xf>
    <xf numFmtId="20" fontId="0" fillId="8" borderId="1" xfId="0" applyNumberFormat="1" applyFill="1" applyBorder="1" applyAlignment="1">
      <alignment horizontal="center" vertical="center" wrapText="1"/>
    </xf>
    <xf numFmtId="3" fontId="0" fillId="8" borderId="1" xfId="0" applyNumberFormat="1" applyFill="1" applyBorder="1" applyAlignment="1">
      <alignment horizontal="center" vertical="center"/>
    </xf>
    <xf numFmtId="0" fontId="5" fillId="0" borderId="7" xfId="0" applyFont="1" applyBorder="1" applyAlignment="1">
      <alignment vertical="center"/>
    </xf>
    <xf numFmtId="0" fontId="12" fillId="0" borderId="7" xfId="0" applyFont="1" applyBorder="1" applyAlignment="1">
      <alignment vertical="center"/>
    </xf>
    <xf numFmtId="22" fontId="5" fillId="0" borderId="8" xfId="0" applyNumberFormat="1" applyFont="1" applyBorder="1" applyAlignment="1">
      <alignment vertical="center"/>
    </xf>
    <xf numFmtId="22" fontId="5" fillId="0" borderId="9" xfId="0" applyNumberFormat="1" applyFont="1" applyBorder="1" applyAlignment="1">
      <alignment vertical="center"/>
    </xf>
    <xf numFmtId="0" fontId="5" fillId="0" borderId="9" xfId="0" applyFont="1" applyBorder="1" applyAlignment="1">
      <alignment vertical="center"/>
    </xf>
    <xf numFmtId="4" fontId="0" fillId="0" borderId="0" xfId="0" applyNumberFormat="1"/>
    <xf numFmtId="4" fontId="14" fillId="0" borderId="0" xfId="0" applyNumberFormat="1" applyFont="1"/>
    <xf numFmtId="22" fontId="5" fillId="12" borderId="8" xfId="0" applyNumberFormat="1" applyFont="1" applyFill="1" applyBorder="1" applyAlignment="1">
      <alignment vertical="center"/>
    </xf>
    <xf numFmtId="22" fontId="5" fillId="12" borderId="9" xfId="0" applyNumberFormat="1" applyFont="1" applyFill="1" applyBorder="1" applyAlignment="1">
      <alignment vertical="center"/>
    </xf>
    <xf numFmtId="0" fontId="5" fillId="12" borderId="9" xfId="0" applyFont="1" applyFill="1" applyBorder="1" applyAlignment="1">
      <alignment vertical="center"/>
    </xf>
    <xf numFmtId="0" fontId="12" fillId="0" borderId="11" xfId="0" applyFont="1" applyBorder="1" applyAlignment="1">
      <alignment vertical="center"/>
    </xf>
    <xf numFmtId="0" fontId="5" fillId="0" borderId="12" xfId="0" applyFont="1" applyBorder="1" applyAlignment="1">
      <alignment vertical="center"/>
    </xf>
    <xf numFmtId="0" fontId="5" fillId="12" borderId="12" xfId="0" applyFont="1" applyFill="1" applyBorder="1" applyAlignment="1">
      <alignment vertical="center"/>
    </xf>
    <xf numFmtId="0" fontId="12" fillId="0" borderId="6" xfId="0" applyFont="1" applyBorder="1" applyAlignment="1">
      <alignment vertical="center"/>
    </xf>
    <xf numFmtId="0" fontId="5" fillId="0" borderId="8" xfId="0" applyFont="1" applyBorder="1" applyAlignment="1">
      <alignment vertical="center"/>
    </xf>
    <xf numFmtId="0" fontId="5" fillId="12" borderId="8" xfId="0" applyFont="1" applyFill="1" applyBorder="1" applyAlignment="1">
      <alignment vertical="center"/>
    </xf>
    <xf numFmtId="0" fontId="13" fillId="11" borderId="8" xfId="0" applyFont="1" applyFill="1" applyBorder="1"/>
    <xf numFmtId="0" fontId="1" fillId="0" borderId="0" xfId="2" applyFont="1"/>
    <xf numFmtId="0" fontId="0" fillId="11" borderId="1" xfId="0" applyFill="1" applyBorder="1" applyAlignment="1">
      <alignment horizontal="center" vertical="center"/>
    </xf>
    <xf numFmtId="0" fontId="0" fillId="11" borderId="1" xfId="0" applyFill="1" applyBorder="1" applyAlignment="1">
      <alignment horizontal="center" vertical="center" wrapText="1"/>
    </xf>
    <xf numFmtId="0" fontId="13" fillId="0" borderId="10" xfId="0" applyFont="1" applyBorder="1" applyAlignment="1">
      <alignment horizontal="right"/>
    </xf>
    <xf numFmtId="0" fontId="13" fillId="0" borderId="11" xfId="0" applyFont="1" applyBorder="1" applyAlignment="1">
      <alignment horizontal="right"/>
    </xf>
    <xf numFmtId="0" fontId="11" fillId="10" borderId="2" xfId="2" applyFont="1" applyFill="1" applyBorder="1" applyAlignment="1">
      <alignment horizontal="center" vertical="center"/>
    </xf>
    <xf numFmtId="0" fontId="11" fillId="10" borderId="1" xfId="2" applyFont="1" applyFill="1" applyBorder="1" applyAlignment="1">
      <alignment horizontal="center" vertical="center"/>
    </xf>
    <xf numFmtId="0" fontId="11" fillId="10" borderId="4" xfId="2" applyFont="1" applyFill="1" applyBorder="1" applyAlignment="1">
      <alignment horizontal="center" vertical="center"/>
    </xf>
    <xf numFmtId="0" fontId="11" fillId="10" borderId="5" xfId="2" applyFont="1" applyFill="1" applyBorder="1" applyAlignment="1">
      <alignment horizontal="center" vertical="center"/>
    </xf>
  </cellXfs>
  <cellStyles count="3">
    <cellStyle name="Normal" xfId="0" builtinId="0"/>
    <cellStyle name="Normal 2" xfId="1" xr:uid="{AB0BB554-4587-453F-91B7-0E693EFB7C19}"/>
    <cellStyle name="Normal 3" xfId="2" xr:uid="{7BC5372A-FCDC-4866-A345-9EB4F9F79834}"/>
  </cellStyles>
  <dxfs count="200">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1"/>
        <name val="Calibri"/>
        <family val="2"/>
        <scheme val="none"/>
      </font>
      <fill>
        <patternFill patternType="solid">
          <fgColor rgb="FFDCE6F1"/>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alignment horizontal="center"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3" defaultTableStyle="TableStyleMedium2" defaultPivotStyle="PivotStyleLight16">
    <tableStyle name="Intervention Log-style" pivot="0" count="4" xr9:uid="{00000000-0011-0000-FFFF-FFFF00000000}">
      <tableStyleElement type="wholeTable" size="0" dxfId="199"/>
      <tableStyleElement type="headerRow" dxfId="198"/>
      <tableStyleElement type="firstRowStripe" dxfId="197"/>
      <tableStyleElement type="secondRowStripe" dxfId="196"/>
    </tableStyle>
    <tableStyle name="Weekly Feb 8-14-style" pivot="0" count="4" xr9:uid="{00000000-0011-0000-FFFF-FFFF01000000}">
      <tableStyleElement type="wholeTable" size="0" dxfId="195"/>
      <tableStyleElement type="headerRow" dxfId="194"/>
      <tableStyleElement type="firstRowStripe" dxfId="193"/>
      <tableStyleElement type="secondRowStripe" dxfId="192"/>
    </tableStyle>
    <tableStyle name="Weekly Feb 8-14-style 2" pivot="0" count="4" xr9:uid="{00000000-0011-0000-FFFF-FFFF02000000}">
      <tableStyleElement type="wholeTable" size="0" dxfId="191"/>
      <tableStyleElement type="headerRow" dxfId="190"/>
      <tableStyleElement type="firstRowStripe" dxfId="189"/>
      <tableStyleElement type="secondRowStripe" dxfId="188"/>
    </tableStyle>
    <tableStyle name="Weekly Feb 8-14-style 3" pivot="0" count="4" xr9:uid="{00000000-0011-0000-FFFF-FFFF03000000}">
      <tableStyleElement type="wholeTable" size="0" dxfId="187"/>
      <tableStyleElement type="headerRow" dxfId="186"/>
      <tableStyleElement type="firstRowStripe" dxfId="185"/>
      <tableStyleElement type="secondRowStripe" dxfId="184"/>
    </tableStyle>
    <tableStyle name="Weekly Jan 18-25-style" pivot="0" count="4" xr9:uid="{00000000-0011-0000-FFFF-FFFF04000000}">
      <tableStyleElement type="wholeTable" size="0" dxfId="183"/>
      <tableStyleElement type="headerRow" dxfId="182"/>
      <tableStyleElement type="firstRowStripe" dxfId="181"/>
      <tableStyleElement type="secondRowStripe" dxfId="180"/>
    </tableStyle>
    <tableStyle name="Weekly Jan 18-25-style 2" pivot="0" count="4" xr9:uid="{00000000-0011-0000-FFFF-FFFF05000000}">
      <tableStyleElement type="wholeTable" size="0" dxfId="179"/>
      <tableStyleElement type="headerRow" dxfId="178"/>
      <tableStyleElement type="firstRowStripe" dxfId="177"/>
      <tableStyleElement type="secondRowStripe" dxfId="176"/>
    </tableStyle>
    <tableStyle name="Weekly Feb 15-21-style" pivot="0" count="4" xr9:uid="{00000000-0011-0000-FFFF-FFFF06000000}">
      <tableStyleElement type="wholeTable" size="0" dxfId="175"/>
      <tableStyleElement type="headerRow" dxfId="174"/>
      <tableStyleElement type="firstRowStripe" dxfId="173"/>
      <tableStyleElement type="secondRowStripe" dxfId="172"/>
    </tableStyle>
    <tableStyle name="Weekly Feb 15-21-style 2" pivot="0" count="4" xr9:uid="{00000000-0011-0000-FFFF-FFFF07000000}">
      <tableStyleElement type="wholeTable" size="0" dxfId="171"/>
      <tableStyleElement type="headerRow" dxfId="170"/>
      <tableStyleElement type="firstRowStripe" dxfId="169"/>
      <tableStyleElement type="secondRowStripe" dxfId="168"/>
    </tableStyle>
    <tableStyle name="Weekly Feb 15-21-style 3" pivot="0" count="4" xr9:uid="{00000000-0011-0000-FFFF-FFFF08000000}">
      <tableStyleElement type="wholeTable" size="0" dxfId="167"/>
      <tableStyleElement type="headerRow" dxfId="166"/>
      <tableStyleElement type="firstRowStripe" dxfId="165"/>
      <tableStyleElement type="secondRowStripe" dxfId="164"/>
    </tableStyle>
    <tableStyle name="November 25-style" pivot="0" count="4" xr9:uid="{00000000-0011-0000-FFFF-FFFF09000000}">
      <tableStyleElement type="wholeTable" size="0" dxfId="163"/>
      <tableStyleElement type="headerRow" dxfId="162"/>
      <tableStyleElement type="firstRowStripe" dxfId="161"/>
      <tableStyleElement type="secondRowStripe" dxfId="160"/>
    </tableStyle>
    <tableStyle name="November 25-style 2" pivot="0" count="4" xr9:uid="{00000000-0011-0000-FFFF-FFFF0A000000}">
      <tableStyleElement type="wholeTable" size="0" dxfId="159"/>
      <tableStyleElement type="headerRow" dxfId="158"/>
      <tableStyleElement type="firstRowStripe" dxfId="157"/>
      <tableStyleElement type="secondRowStripe" dxfId="156"/>
    </tableStyle>
    <tableStyle name="November 25-style 3" pivot="0" count="4" xr9:uid="{00000000-0011-0000-FFFF-FFFF0B000000}">
      <tableStyleElement type="wholeTable" size="0" dxfId="155"/>
      <tableStyleElement type="headerRow" dxfId="154"/>
      <tableStyleElement type="firstRowStripe" dxfId="153"/>
      <tableStyleElement type="secondRowStripe" dxfId="152"/>
    </tableStyle>
    <tableStyle name="December 25-style" pivot="0" count="4" xr9:uid="{00000000-0011-0000-FFFF-FFFF0C000000}">
      <tableStyleElement type="wholeTable" size="0" dxfId="151"/>
      <tableStyleElement type="headerRow" dxfId="150"/>
      <tableStyleElement type="firstRowStripe" dxfId="149"/>
      <tableStyleElement type="secondRowStripe" dxfId="148"/>
    </tableStyle>
    <tableStyle name="December 25-style 2" pivot="0" count="4" xr9:uid="{00000000-0011-0000-FFFF-FFFF0D000000}">
      <tableStyleElement type="wholeTable" size="0" dxfId="147"/>
      <tableStyleElement type="headerRow" dxfId="146"/>
      <tableStyleElement type="firstRowStripe" dxfId="145"/>
      <tableStyleElement type="secondRowStripe" dxfId="144"/>
    </tableStyle>
    <tableStyle name="December 25-style 3" pivot="0" count="4" xr9:uid="{00000000-0011-0000-FFFF-FFFF0E000000}">
      <tableStyleElement type="wholeTable" size="0" dxfId="143"/>
      <tableStyleElement type="headerRow" dxfId="142"/>
      <tableStyleElement type="firstRowStripe" dxfId="141"/>
      <tableStyleElement type="secondRowStripe" dxfId="140"/>
    </tableStyle>
    <tableStyle name="December 25-style 4" pivot="0" count="4" xr9:uid="{00000000-0011-0000-FFFF-FFFF0F000000}">
      <tableStyleElement type="wholeTable" size="0" dxfId="139"/>
      <tableStyleElement type="headerRow" dxfId="138"/>
      <tableStyleElement type="firstRowStripe" dxfId="137"/>
      <tableStyleElement type="secondRowStripe" dxfId="136"/>
    </tableStyle>
    <tableStyle name="January 26-style" pivot="0" count="4" xr9:uid="{00000000-0011-0000-FFFF-FFFF10000000}">
      <tableStyleElement type="wholeTable" size="0" dxfId="135"/>
      <tableStyleElement type="headerRow" dxfId="134"/>
      <tableStyleElement type="firstRowStripe" dxfId="133"/>
      <tableStyleElement type="secondRowStripe" dxfId="132"/>
    </tableStyle>
    <tableStyle name="January 26-style 2" pivot="0" count="4" xr9:uid="{00000000-0011-0000-FFFF-FFFF11000000}">
      <tableStyleElement type="wholeTable" size="0" dxfId="131"/>
      <tableStyleElement type="headerRow" dxfId="130"/>
      <tableStyleElement type="firstRowStripe" dxfId="129"/>
      <tableStyleElement type="secondRowStripe" dxfId="128"/>
    </tableStyle>
    <tableStyle name="January 26-style 3" pivot="0" count="4" xr9:uid="{00000000-0011-0000-FFFF-FFFF12000000}">
      <tableStyleElement type="wholeTable" size="0" dxfId="127"/>
      <tableStyleElement type="headerRow" dxfId="126"/>
      <tableStyleElement type="firstRowStripe" dxfId="125"/>
      <tableStyleElement type="secondRowStripe" dxfId="124"/>
    </tableStyle>
    <tableStyle name="January 26-style 4" pivot="0" count="4" xr9:uid="{00000000-0011-0000-FFFF-FFFF13000000}">
      <tableStyleElement type="wholeTable" size="0" dxfId="123"/>
      <tableStyleElement type="headerRow" dxfId="122"/>
      <tableStyleElement type="firstRowStripe" dxfId="121"/>
      <tableStyleElement type="secondRowStripe" dxfId="120"/>
    </tableStyle>
    <tableStyle name="New Jan 26-style" pivot="0" count="4" xr9:uid="{00000000-0011-0000-FFFF-FFFF14000000}">
      <tableStyleElement type="wholeTable" size="0" dxfId="119"/>
      <tableStyleElement type="headerRow" dxfId="118"/>
      <tableStyleElement type="firstRowStripe" dxfId="117"/>
      <tableStyleElement type="secondRowStripe" dxfId="116"/>
    </tableStyle>
    <tableStyle name="New Jan 26-style 2" pivot="0" count="4" xr9:uid="{00000000-0011-0000-FFFF-FFFF15000000}">
      <tableStyleElement type="wholeTable" size="0" dxfId="115"/>
      <tableStyleElement type="headerRow" dxfId="114"/>
      <tableStyleElement type="firstRowStripe" dxfId="113"/>
      <tableStyleElement type="secondRowStripe" dxfId="112"/>
    </tableStyle>
    <tableStyle name="New Jan 26-style 3" pivot="0" count="4" xr9:uid="{00000000-0011-0000-FFFF-FFFF16000000}">
      <tableStyleElement type="wholeTable" size="0" dxfId="111"/>
      <tableStyleElement type="headerRow" dxfId="110"/>
      <tableStyleElement type="firstRowStripe" dxfId="109"/>
      <tableStyleElement type="secondRowStripe" dxfId="108"/>
    </tableStyle>
    <tableStyle name="New Jan 26-style 4" pivot="0" count="4" xr9:uid="{00000000-0011-0000-FFFF-FFFF17000000}">
      <tableStyleElement type="wholeTable" size="0" dxfId="107"/>
      <tableStyleElement type="headerRow" dxfId="106"/>
      <tableStyleElement type="firstRowStripe" dxfId="105"/>
      <tableStyleElement type="secondRowStripe" dxfId="104"/>
    </tableStyle>
    <tableStyle name="New Jan 26-style 5" pivot="0" count="4" xr9:uid="{00000000-0011-0000-FFFF-FFFF18000000}">
      <tableStyleElement type="wholeTable" size="0" dxfId="103"/>
      <tableStyleElement type="headerRow" dxfId="102"/>
      <tableStyleElement type="firstRowStripe" dxfId="101"/>
      <tableStyleElement type="secondRowStripe" dxfId="100"/>
    </tableStyle>
    <tableStyle name="New Jan 26-style 6" pivot="0" count="3" xr9:uid="{00000000-0011-0000-FFFF-FFFF19000000}">
      <tableStyleElement type="headerRow" dxfId="99"/>
      <tableStyleElement type="firstRowStripe" dxfId="98"/>
      <tableStyleElement type="secondRowStripe" dxfId="97"/>
    </tableStyle>
    <tableStyle name="1st Qtr-style" pivot="0" count="4" xr9:uid="{00000000-0011-0000-FFFF-FFFF1A000000}">
      <tableStyleElement type="wholeTable" size="0" dxfId="96"/>
      <tableStyleElement type="headerRow" dxfId="95"/>
      <tableStyleElement type="firstRowStripe" dxfId="94"/>
      <tableStyleElement type="secondRowStripe" dxfId="93"/>
    </tableStyle>
    <tableStyle name="1st Qtr-style 2" pivot="0" count="4" xr9:uid="{00000000-0011-0000-FFFF-FFFF1B000000}">
      <tableStyleElement type="wholeTable" size="0" dxfId="92"/>
      <tableStyleElement type="headerRow" dxfId="91"/>
      <tableStyleElement type="firstRowStripe" dxfId="90"/>
      <tableStyleElement type="secondRowStripe" dxfId="89"/>
    </tableStyle>
    <tableStyle name="1st Qtr-style 3" pivot="0" count="4" xr9:uid="{00000000-0011-0000-FFFF-FFFF1C000000}">
      <tableStyleElement type="wholeTable" size="0" dxfId="88"/>
      <tableStyleElement type="headerRow" dxfId="87"/>
      <tableStyleElement type="firstRowStripe" dxfId="86"/>
      <tableStyleElement type="secondRowStripe" dxfId="85"/>
    </tableStyle>
    <tableStyle name="1st Qtr-style 4" pivot="0" count="4" xr9:uid="{00000000-0011-0000-FFFF-FFFF1D000000}">
      <tableStyleElement type="wholeTable" size="0" dxfId="84"/>
      <tableStyleElement type="headerRow" dxfId="83"/>
      <tableStyleElement type="firstRowStripe" dxfId="82"/>
      <tableStyleElement type="secondRowStripe" dxfId="81"/>
    </tableStyle>
    <tableStyle name="1st Qtr-style 5" pivot="0" count="4" xr9:uid="{00000000-0011-0000-FFFF-FFFF1E000000}">
      <tableStyleElement type="wholeTable" size="0" dxfId="80"/>
      <tableStyleElement type="headerRow" dxfId="79"/>
      <tableStyleElement type="firstRowStripe" dxfId="78"/>
      <tableStyleElement type="secondRowStripe" dxfId="77"/>
    </tableStyle>
    <tableStyle name="1st Qtr-style 6" pivot="0" count="3" xr9:uid="{00000000-0011-0000-FFFF-FFFF1F000000}">
      <tableStyleElement type="headerRow" dxfId="76"/>
      <tableStyleElement type="firstRowStripe" dxfId="75"/>
      <tableStyleElement type="secondRowStripe" dxfId="74"/>
    </tableStyle>
    <tableStyle name="Copy of 1st Qtr-style" pivot="0" count="4" xr9:uid="{00000000-0011-0000-FFFF-FFFF20000000}">
      <tableStyleElement type="wholeTable" size="0" dxfId="73"/>
      <tableStyleElement type="headerRow" dxfId="72"/>
      <tableStyleElement type="firstRowStripe" dxfId="71"/>
      <tableStyleElement type="secondRowStripe" dxfId="70"/>
    </tableStyle>
    <tableStyle name="Copy of 1st Qtr-style 2" pivot="0" count="4" xr9:uid="{00000000-0011-0000-FFFF-FFFF21000000}">
      <tableStyleElement type="wholeTable" size="0" dxfId="69"/>
      <tableStyleElement type="headerRow" dxfId="68"/>
      <tableStyleElement type="firstRowStripe" dxfId="67"/>
      <tableStyleElement type="secondRowStripe" dxfId="66"/>
    </tableStyle>
    <tableStyle name="Copy of 1st Qtr-style 3" pivot="0" count="4" xr9:uid="{00000000-0011-0000-FFFF-FFFF22000000}">
      <tableStyleElement type="wholeTable" size="0" dxfId="65"/>
      <tableStyleElement type="headerRow" dxfId="64"/>
      <tableStyleElement type="firstRowStripe" dxfId="63"/>
      <tableStyleElement type="secondRowStripe" dxfId="62"/>
    </tableStyle>
    <tableStyle name="Copy of 1st Qtr-style 4" pivot="0" count="4" xr9:uid="{00000000-0011-0000-FFFF-FFFF23000000}">
      <tableStyleElement type="wholeTable" size="0" dxfId="61"/>
      <tableStyleElement type="headerRow" dxfId="60"/>
      <tableStyleElement type="firstRowStripe" dxfId="59"/>
      <tableStyleElement type="secondRowStripe" dxfId="58"/>
    </tableStyle>
    <tableStyle name="Copy of 1st Qtr-style 5" pivot="0" count="4" xr9:uid="{00000000-0011-0000-FFFF-FFFF24000000}">
      <tableStyleElement type="wholeTable" size="0" dxfId="57"/>
      <tableStyleElement type="headerRow" dxfId="56"/>
      <tableStyleElement type="firstRowStripe" dxfId="55"/>
      <tableStyleElement type="secondRowStripe" dxfId="54"/>
    </tableStyle>
    <tableStyle name="Copy of 1st Qtr-style 6" pivot="0" count="3" xr9:uid="{00000000-0011-0000-FFFF-FFFF25000000}">
      <tableStyleElement type="headerRow" dxfId="53"/>
      <tableStyleElement type="firstRowStripe" dxfId="52"/>
      <tableStyleElement type="secondRowStripe" dxfId="51"/>
    </tableStyle>
    <tableStyle name="ROP Summary-style" pivot="0" count="4" xr9:uid="{00000000-0011-0000-FFFF-FFFF26000000}">
      <tableStyleElement type="wholeTable" size="0" dxfId="50"/>
      <tableStyleElement type="headerRow" dxfId="49"/>
      <tableStyleElement type="firstRowStripe" dxfId="48"/>
      <tableStyleElement type="secondRowStripe" dxfId="47"/>
    </tableStyle>
    <tableStyle name="ROP Summary-style 2" pivot="0" count="3" xr9:uid="{00000000-0011-0000-FFFF-FFFF27000000}">
      <tableStyleElement type="headerRow" dxfId="46"/>
      <tableStyleElement type="firstRowStripe" dxfId="45"/>
      <tableStyleElement type="secondRowStripe" dxfId="44"/>
    </tableStyle>
    <tableStyle name="Wiper Trip Summary-style" pivot="0" count="4" xr9:uid="{00000000-0011-0000-FFFF-FFFF28000000}">
      <tableStyleElement type="wholeTable" size="0" dxfId="43"/>
      <tableStyleElement type="headerRow" dxfId="42"/>
      <tableStyleElement type="firstRowStripe" dxfId="41"/>
      <tableStyleElement type="secondRowStripe" dxfId="40"/>
    </tableStyle>
    <tableStyle name="KPIs-style" pivot="0" count="4" xr9:uid="{00000000-0011-0000-FFFF-FFFF29000000}">
      <tableStyleElement type="wholeTable" size="0" dxfId="39"/>
      <tableStyleElement type="headerRow" dxfId="38"/>
      <tableStyleElement type="firstRowStripe" dxfId="37"/>
      <tableStyleElement type="secondRowStripe" dxfId="36"/>
    </tableStyle>
    <tableStyle name="Connections-style" pivot="0" count="4" xr9:uid="{00000000-0011-0000-FFFF-FFFF2A000000}">
      <tableStyleElement type="wholeTable" size="0" dxfId="35"/>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4" displayName="Table4" ref="A1:AE478" dataDxfId="31">
  <autoFilter ref="A1:AE478" xr:uid="{00000000-0009-0000-0100-000001000000}"/>
  <tableColumns count="31">
    <tableColumn id="1" xr3:uid="{00000000-0010-0000-0000-000001000000}" name="Interventions Count" dataDxfId="30"/>
    <tableColumn id="2" xr3:uid="{00000000-0010-0000-0000-000002000000}" name="Date" dataDxfId="29"/>
    <tableColumn id="3" xr3:uid="{00000000-0010-0000-0000-000003000000}" name="Intervention Time" dataDxfId="28"/>
    <tableColumn id="4" xr3:uid="{00000000-0010-0000-0000-000004000000}" name="Rig Name" dataDxfId="27"/>
    <tableColumn id="26" xr3:uid="{00000000-0010-0000-0000-00001A000000}" name="Field" dataDxfId="26"/>
    <tableColumn id="5" xr3:uid="{00000000-0010-0000-0000-000005000000}" name="Well Name" dataDxfId="25"/>
    <tableColumn id="6" xr3:uid="{00000000-0010-0000-0000-000006000000}" name="Hole Size" dataDxfId="24"/>
    <tableColumn id="7" xr3:uid="{00000000-0010-0000-0000-000007000000}" name="ENG. Dept" dataDxfId="23"/>
    <tableColumn id="8" xr3:uid="{00000000-0010-0000-0000-000008000000}" name="Opt. Dept" dataDxfId="22"/>
    <tableColumn id="9" xr3:uid="{00000000-0010-0000-0000-000009000000}" name="Intervention Category" dataDxfId="21"/>
    <tableColumn id="10" xr3:uid="{00000000-0010-0000-0000-00000A000000}" name="Intervention Type" dataDxfId="20"/>
    <tableColumn id="11" xr3:uid="{00000000-0010-0000-0000-00000B000000}" name="Event Index" dataDxfId="19"/>
    <tableColumn id="12" xr3:uid="{00000000-0010-0000-0000-00000C000000}" name="Corva App" dataDxfId="18"/>
    <tableColumn id="13" xr3:uid="{00000000-0010-0000-0000-00000D000000}" name="Parameter" dataDxfId="17"/>
    <tableColumn id="14" xr3:uid="{00000000-0010-0000-0000-00000E000000}" name="Expected" dataDxfId="16"/>
    <tableColumn id="15" xr3:uid="{00000000-0010-0000-0000-00000F000000}" name="Actual" dataDxfId="15"/>
    <tableColumn id="16" xr3:uid="{00000000-0010-0000-0000-000010000000}" name="Intervention Description" dataDxfId="14"/>
    <tableColumn id="17" xr3:uid="{00000000-0010-0000-0000-000011000000}" name="Recommendation" dataDxfId="13"/>
    <tableColumn id="18" xr3:uid="{00000000-0010-0000-0000-000012000000}" name="Event Time If Applicable" dataDxfId="12"/>
    <tableColumn id="19" xr3:uid="{00000000-0010-0000-0000-000013000000}" name="RTOC/RDH Validation (Y/N)" dataDxfId="11"/>
    <tableColumn id="20" xr3:uid="{00000000-0010-0000-0000-000014000000}" name="RTOC Comments" dataDxfId="10"/>
    <tableColumn id="21" xr3:uid="{00000000-0010-0000-0000-000015000000}" name="RTOC to Rig Communication" dataDxfId="9"/>
    <tableColumn id="22" xr3:uid="{00000000-0010-0000-0000-000016000000}" name="Rig Taken Action" dataDxfId="8"/>
    <tableColumn id="23" xr3:uid="{00000000-0010-0000-0000-000017000000}" name="Rig Comment" dataDxfId="7"/>
    <tableColumn id="24" xr3:uid="{00000000-0010-0000-0000-000018000000}" name="RTOC lead name" dataDxfId="6"/>
    <tableColumn id="25" xr3:uid="{00000000-0010-0000-0000-000019000000}" name="RTES Rep" dataDxfId="5"/>
    <tableColumn id="28" xr3:uid="{00000000-0010-0000-0000-00001C000000}" name="Cost Saving (hrs)" dataDxfId="4"/>
    <tableColumn id="29" xr3:uid="{00000000-0010-0000-0000-00001D000000}" name="Potential Cost Avoidance (hrs)" dataDxfId="3"/>
    <tableColumn id="30" xr3:uid="{00000000-0010-0000-0000-00001E000000}" name="Rig Spread Rate ($/day)" dataDxfId="2"/>
    <tableColumn id="31" xr3:uid="{00000000-0010-0000-0000-00001F000000}" name="$ Cost Saving" dataDxfId="1"/>
    <tableColumn id="32" xr3:uid="{00000000-0010-0000-0000-000020000000}" name="$ Potential Cost Avoidance" dataDxfId="0"/>
  </tableColumns>
  <tableStyleInfo name="Intervention 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1044"/>
  <sheetViews>
    <sheetView tabSelected="1" zoomScale="85" zoomScaleNormal="85" workbookViewId="0">
      <pane ySplit="1" topLeftCell="A447" activePane="bottomLeft" state="frozen"/>
      <selection pane="bottomLeft" activeCell="M474" sqref="M474"/>
    </sheetView>
  </sheetViews>
  <sheetFormatPr defaultColWidth="12.6640625" defaultRowHeight="15" customHeight="1" x14ac:dyDescent="0.25"/>
  <cols>
    <col min="1" max="1" width="5.33203125" customWidth="1"/>
    <col min="2" max="2" width="10.6640625" bestFit="1" customWidth="1"/>
    <col min="3" max="3" width="7.5546875" customWidth="1"/>
    <col min="4" max="4" width="10.6640625" customWidth="1"/>
    <col min="5" max="5" width="9.33203125" customWidth="1"/>
    <col min="6" max="6" width="14.33203125" customWidth="1"/>
    <col min="7" max="7" width="8.6640625" customWidth="1"/>
    <col min="8" max="8" width="9" customWidth="1"/>
    <col min="9" max="9" width="9.6640625" customWidth="1"/>
    <col min="10" max="10" width="19.33203125" customWidth="1"/>
    <col min="11" max="11" width="13.44140625" customWidth="1"/>
    <col min="12" max="12" width="17" customWidth="1"/>
    <col min="13" max="13" width="42" customWidth="1"/>
    <col min="14" max="14" width="9" customWidth="1"/>
    <col min="15" max="15" width="7.33203125" customWidth="1"/>
    <col min="16" max="16" width="6.88671875" customWidth="1"/>
    <col min="17" max="17" width="73.33203125" style="52" customWidth="1"/>
    <col min="18" max="18" width="71.6640625" style="52" customWidth="1"/>
    <col min="19" max="19" width="11.88671875" customWidth="1"/>
    <col min="20" max="20" width="12.88671875" customWidth="1"/>
    <col min="21" max="21" width="60" customWidth="1"/>
    <col min="22" max="22" width="9.5546875" customWidth="1"/>
    <col min="23" max="23" width="9.109375" customWidth="1"/>
    <col min="24" max="24" width="51.33203125" style="52" customWidth="1"/>
    <col min="25" max="25" width="23.109375" customWidth="1"/>
    <col min="26" max="26" width="14.88671875" customWidth="1"/>
    <col min="27" max="27" width="9.109375" customWidth="1"/>
    <col min="28" max="28" width="9" customWidth="1"/>
    <col min="29" max="29" width="11.6640625" customWidth="1"/>
    <col min="30" max="30" width="12.6640625" customWidth="1"/>
    <col min="31" max="31" width="10.6640625" customWidth="1"/>
    <col min="32" max="32" width="86.6640625" style="52" customWidth="1"/>
    <col min="33" max="33" width="86.6640625" bestFit="1" customWidth="1"/>
  </cols>
  <sheetData>
    <row r="1" spans="1:32" ht="22.5" customHeight="1" x14ac:dyDescent="0.25">
      <c r="A1" s="1" t="s">
        <v>0</v>
      </c>
      <c r="B1" s="2" t="s">
        <v>1</v>
      </c>
      <c r="C1" s="3" t="s">
        <v>2</v>
      </c>
      <c r="D1" s="1" t="s">
        <v>3</v>
      </c>
      <c r="E1" s="1" t="s">
        <v>24</v>
      </c>
      <c r="F1" s="1" t="s">
        <v>4</v>
      </c>
      <c r="G1" s="1" t="s">
        <v>5</v>
      </c>
      <c r="H1" s="1" t="s">
        <v>6</v>
      </c>
      <c r="I1" s="1" t="s">
        <v>7</v>
      </c>
      <c r="J1" s="1" t="s">
        <v>8</v>
      </c>
      <c r="K1" s="1" t="s">
        <v>9</v>
      </c>
      <c r="L1" s="1" t="s">
        <v>10</v>
      </c>
      <c r="M1" s="1" t="s">
        <v>11</v>
      </c>
      <c r="N1" s="1" t="s">
        <v>12</v>
      </c>
      <c r="O1" s="1" t="s">
        <v>13</v>
      </c>
      <c r="P1" s="1" t="s">
        <v>14</v>
      </c>
      <c r="Q1" s="45" t="s">
        <v>15</v>
      </c>
      <c r="R1" s="45" t="s">
        <v>16</v>
      </c>
      <c r="S1" s="1" t="s">
        <v>17</v>
      </c>
      <c r="T1" s="1" t="s">
        <v>1597</v>
      </c>
      <c r="U1" s="1" t="s">
        <v>18</v>
      </c>
      <c r="V1" s="1" t="s">
        <v>19</v>
      </c>
      <c r="W1" s="1" t="s">
        <v>20</v>
      </c>
      <c r="X1" s="45" t="s">
        <v>21</v>
      </c>
      <c r="Y1" s="1" t="s">
        <v>22</v>
      </c>
      <c r="Z1" s="1" t="s">
        <v>23</v>
      </c>
      <c r="AA1" s="1" t="s">
        <v>1610</v>
      </c>
      <c r="AB1" s="1" t="s">
        <v>1611</v>
      </c>
      <c r="AC1" s="4" t="s">
        <v>25</v>
      </c>
      <c r="AD1" s="1" t="s">
        <v>1613</v>
      </c>
      <c r="AE1" s="1" t="s">
        <v>1614</v>
      </c>
      <c r="AF1" s="57" t="s">
        <v>1612</v>
      </c>
    </row>
    <row r="2" spans="1:32" ht="22.5" customHeight="1" x14ac:dyDescent="0.25">
      <c r="A2" s="8">
        <v>1</v>
      </c>
      <c r="B2" s="9">
        <v>45972</v>
      </c>
      <c r="C2" s="10">
        <v>0.45069444444444445</v>
      </c>
      <c r="D2" s="11" t="s">
        <v>26</v>
      </c>
      <c r="E2" s="11" t="s">
        <v>45</v>
      </c>
      <c r="F2" s="11" t="s">
        <v>27</v>
      </c>
      <c r="G2" s="11" t="s">
        <v>28</v>
      </c>
      <c r="H2" s="11" t="s">
        <v>29</v>
      </c>
      <c r="I2" s="11" t="s">
        <v>30</v>
      </c>
      <c r="J2" s="11" t="s">
        <v>31</v>
      </c>
      <c r="K2" s="11" t="s">
        <v>32</v>
      </c>
      <c r="L2" s="11">
        <v>1</v>
      </c>
      <c r="M2" s="11" t="s">
        <v>33</v>
      </c>
      <c r="N2" s="11" t="s">
        <v>34</v>
      </c>
      <c r="O2" s="11" t="s">
        <v>35</v>
      </c>
      <c r="P2" s="11" t="s">
        <v>36</v>
      </c>
      <c r="Q2" s="46" t="s">
        <v>37</v>
      </c>
      <c r="R2" s="44" t="s">
        <v>38</v>
      </c>
      <c r="S2" s="11" t="s">
        <v>39</v>
      </c>
      <c r="T2" s="11" t="s">
        <v>40</v>
      </c>
      <c r="U2" s="11" t="s">
        <v>41</v>
      </c>
      <c r="V2" s="11" t="s">
        <v>40</v>
      </c>
      <c r="W2" s="11" t="s">
        <v>40</v>
      </c>
      <c r="X2" s="46" t="s">
        <v>42</v>
      </c>
      <c r="Y2" s="11" t="s">
        <v>43</v>
      </c>
      <c r="Z2" s="11" t="s">
        <v>44</v>
      </c>
      <c r="AA2" s="11">
        <v>0</v>
      </c>
      <c r="AB2" s="11">
        <v>0</v>
      </c>
      <c r="AC2" s="12">
        <v>120546.59</v>
      </c>
      <c r="AD2" s="12">
        <v>0</v>
      </c>
      <c r="AE2" s="12">
        <v>0</v>
      </c>
      <c r="AF2" s="46"/>
    </row>
    <row r="3" spans="1:32" ht="22.5" customHeight="1" x14ac:dyDescent="0.25">
      <c r="A3" s="8">
        <v>2</v>
      </c>
      <c r="B3" s="9">
        <v>45974</v>
      </c>
      <c r="C3" s="10">
        <v>0.33333333333333331</v>
      </c>
      <c r="D3" s="11" t="s">
        <v>46</v>
      </c>
      <c r="E3" s="11" t="s">
        <v>60</v>
      </c>
      <c r="F3" s="11" t="s">
        <v>47</v>
      </c>
      <c r="G3" s="11" t="s">
        <v>48</v>
      </c>
      <c r="H3" s="11" t="s">
        <v>49</v>
      </c>
      <c r="I3" s="11" t="s">
        <v>50</v>
      </c>
      <c r="J3" s="11" t="s">
        <v>31</v>
      </c>
      <c r="K3" s="11" t="s">
        <v>32</v>
      </c>
      <c r="L3" s="11">
        <v>2</v>
      </c>
      <c r="M3" s="11" t="s">
        <v>51</v>
      </c>
      <c r="N3" s="11" t="s">
        <v>52</v>
      </c>
      <c r="O3" s="11" t="s">
        <v>53</v>
      </c>
      <c r="P3" s="11" t="s">
        <v>54</v>
      </c>
      <c r="Q3" s="46" t="s">
        <v>55</v>
      </c>
      <c r="R3" s="44" t="s">
        <v>56</v>
      </c>
      <c r="S3" s="11" t="s">
        <v>39</v>
      </c>
      <c r="T3" s="11" t="s">
        <v>40</v>
      </c>
      <c r="U3" s="11" t="s">
        <v>57</v>
      </c>
      <c r="V3" s="11" t="s">
        <v>40</v>
      </c>
      <c r="W3" s="11" t="s">
        <v>40</v>
      </c>
      <c r="X3" s="46" t="s">
        <v>42</v>
      </c>
      <c r="Y3" s="11" t="s">
        <v>58</v>
      </c>
      <c r="Z3" s="11" t="s">
        <v>59</v>
      </c>
      <c r="AA3" s="11">
        <v>0</v>
      </c>
      <c r="AB3" s="11">
        <v>2.5</v>
      </c>
      <c r="AC3" s="12">
        <v>44717</v>
      </c>
      <c r="AD3" s="12">
        <v>0</v>
      </c>
      <c r="AE3" s="12">
        <v>0</v>
      </c>
      <c r="AF3" s="46"/>
    </row>
    <row r="4" spans="1:32" ht="22.5" customHeight="1" x14ac:dyDescent="0.25">
      <c r="A4" s="8">
        <v>3</v>
      </c>
      <c r="B4" s="9">
        <v>45975</v>
      </c>
      <c r="C4" s="10">
        <v>9.2361111111111116E-2</v>
      </c>
      <c r="D4" s="11" t="s">
        <v>61</v>
      </c>
      <c r="E4" s="11" t="s">
        <v>73</v>
      </c>
      <c r="F4" s="11" t="s">
        <v>62</v>
      </c>
      <c r="G4" s="11" t="s">
        <v>63</v>
      </c>
      <c r="H4" s="11" t="s">
        <v>49</v>
      </c>
      <c r="I4" s="11" t="s">
        <v>50</v>
      </c>
      <c r="J4" s="11" t="s">
        <v>64</v>
      </c>
      <c r="K4" s="11" t="s">
        <v>65</v>
      </c>
      <c r="L4" s="11">
        <v>3</v>
      </c>
      <c r="M4" s="11" t="s">
        <v>51</v>
      </c>
      <c r="N4" s="11" t="s">
        <v>66</v>
      </c>
      <c r="O4" s="13">
        <v>0.55000000000000004</v>
      </c>
      <c r="P4" s="13">
        <v>0.65</v>
      </c>
      <c r="Q4" s="46" t="s">
        <v>67</v>
      </c>
      <c r="R4" s="44" t="s">
        <v>68</v>
      </c>
      <c r="S4" s="11" t="s">
        <v>39</v>
      </c>
      <c r="T4" s="11" t="s">
        <v>40</v>
      </c>
      <c r="U4" s="11" t="s">
        <v>69</v>
      </c>
      <c r="V4" s="11" t="s">
        <v>40</v>
      </c>
      <c r="W4" s="11" t="s">
        <v>40</v>
      </c>
      <c r="X4" s="46" t="s">
        <v>70</v>
      </c>
      <c r="Y4" s="11" t="s">
        <v>71</v>
      </c>
      <c r="Z4" s="11" t="s">
        <v>72</v>
      </c>
      <c r="AA4" s="11">
        <v>0</v>
      </c>
      <c r="AB4" s="11">
        <v>0</v>
      </c>
      <c r="AC4" s="12">
        <v>44717</v>
      </c>
      <c r="AD4" s="12">
        <v>0</v>
      </c>
      <c r="AE4" s="12">
        <v>0</v>
      </c>
      <c r="AF4" s="46"/>
    </row>
    <row r="5" spans="1:32" ht="22.5" customHeight="1" x14ac:dyDescent="0.25">
      <c r="A5" s="8">
        <v>4</v>
      </c>
      <c r="B5" s="9">
        <v>45976</v>
      </c>
      <c r="C5" s="10">
        <v>0</v>
      </c>
      <c r="D5" s="11" t="s">
        <v>61</v>
      </c>
      <c r="E5" s="11" t="s">
        <v>73</v>
      </c>
      <c r="F5" s="11" t="s">
        <v>62</v>
      </c>
      <c r="G5" s="11" t="s">
        <v>63</v>
      </c>
      <c r="H5" s="11" t="s">
        <v>49</v>
      </c>
      <c r="I5" s="11" t="s">
        <v>50</v>
      </c>
      <c r="J5" s="11" t="s">
        <v>31</v>
      </c>
      <c r="K5" s="11" t="s">
        <v>65</v>
      </c>
      <c r="L5" s="11">
        <v>4</v>
      </c>
      <c r="M5" s="11" t="s">
        <v>74</v>
      </c>
      <c r="N5" s="11" t="s">
        <v>75</v>
      </c>
      <c r="O5" s="11">
        <v>160</v>
      </c>
      <c r="P5" s="11" t="s">
        <v>76</v>
      </c>
      <c r="Q5" s="46" t="s">
        <v>77</v>
      </c>
      <c r="R5" s="44" t="s">
        <v>78</v>
      </c>
      <c r="S5" s="11" t="s">
        <v>39</v>
      </c>
      <c r="T5" s="11" t="s">
        <v>40</v>
      </c>
      <c r="U5" s="11" t="s">
        <v>79</v>
      </c>
      <c r="V5" s="11" t="s">
        <v>40</v>
      </c>
      <c r="W5" s="11" t="s">
        <v>80</v>
      </c>
      <c r="X5" s="46" t="s">
        <v>81</v>
      </c>
      <c r="Y5" s="11" t="s">
        <v>71</v>
      </c>
      <c r="Z5" s="11" t="s">
        <v>72</v>
      </c>
      <c r="AA5" s="11">
        <v>0</v>
      </c>
      <c r="AB5" s="11">
        <v>6.7</v>
      </c>
      <c r="AC5" s="12">
        <v>44717</v>
      </c>
      <c r="AD5" s="12">
        <v>0</v>
      </c>
      <c r="AE5" s="12">
        <v>0</v>
      </c>
      <c r="AF5" s="46"/>
    </row>
    <row r="6" spans="1:32" ht="22.5" customHeight="1" x14ac:dyDescent="0.25">
      <c r="A6" s="8">
        <v>5</v>
      </c>
      <c r="B6" s="9">
        <v>45976</v>
      </c>
      <c r="C6" s="10">
        <v>0.86805555555555558</v>
      </c>
      <c r="D6" s="11" t="s">
        <v>61</v>
      </c>
      <c r="E6" s="11" t="s">
        <v>73</v>
      </c>
      <c r="F6" s="11" t="s">
        <v>62</v>
      </c>
      <c r="G6" s="11" t="s">
        <v>63</v>
      </c>
      <c r="H6" s="11" t="s">
        <v>49</v>
      </c>
      <c r="I6" s="11" t="s">
        <v>50</v>
      </c>
      <c r="J6" s="11" t="s">
        <v>64</v>
      </c>
      <c r="K6" s="11" t="s">
        <v>65</v>
      </c>
      <c r="L6" s="11">
        <v>5</v>
      </c>
      <c r="M6" s="11" t="s">
        <v>51</v>
      </c>
      <c r="N6" s="11" t="s">
        <v>66</v>
      </c>
      <c r="O6" s="11">
        <v>435</v>
      </c>
      <c r="P6" s="11">
        <v>445</v>
      </c>
      <c r="Q6" s="46" t="s">
        <v>82</v>
      </c>
      <c r="R6" s="44" t="s">
        <v>83</v>
      </c>
      <c r="S6" s="11" t="s">
        <v>39</v>
      </c>
      <c r="T6" s="11" t="s">
        <v>40</v>
      </c>
      <c r="U6" s="11" t="s">
        <v>84</v>
      </c>
      <c r="V6" s="11" t="s">
        <v>40</v>
      </c>
      <c r="W6" s="11" t="s">
        <v>40</v>
      </c>
      <c r="X6" s="46" t="s">
        <v>85</v>
      </c>
      <c r="Y6" s="11" t="s">
        <v>86</v>
      </c>
      <c r="Z6" s="11" t="s">
        <v>72</v>
      </c>
      <c r="AA6" s="11">
        <v>0</v>
      </c>
      <c r="AB6" s="11">
        <v>0</v>
      </c>
      <c r="AC6" s="12">
        <v>44717</v>
      </c>
      <c r="AD6" s="12">
        <v>0</v>
      </c>
      <c r="AE6" s="12">
        <v>0</v>
      </c>
      <c r="AF6" s="46"/>
    </row>
    <row r="7" spans="1:32" ht="22.5" customHeight="1" x14ac:dyDescent="0.25">
      <c r="A7" s="8">
        <v>6</v>
      </c>
      <c r="B7" s="9">
        <v>45977</v>
      </c>
      <c r="C7" s="10">
        <v>2.4305555555555556E-2</v>
      </c>
      <c r="D7" s="11" t="s">
        <v>61</v>
      </c>
      <c r="E7" s="11" t="s">
        <v>73</v>
      </c>
      <c r="F7" s="11" t="s">
        <v>62</v>
      </c>
      <c r="G7" s="11" t="s">
        <v>63</v>
      </c>
      <c r="H7" s="11" t="s">
        <v>49</v>
      </c>
      <c r="I7" s="11" t="s">
        <v>50</v>
      </c>
      <c r="J7" s="11" t="s">
        <v>31</v>
      </c>
      <c r="K7" s="11" t="s">
        <v>65</v>
      </c>
      <c r="L7" s="11">
        <v>6</v>
      </c>
      <c r="M7" s="11" t="s">
        <v>51</v>
      </c>
      <c r="N7" s="11" t="s">
        <v>34</v>
      </c>
      <c r="O7" s="11">
        <v>310</v>
      </c>
      <c r="P7" s="11" t="s">
        <v>87</v>
      </c>
      <c r="Q7" s="46" t="s">
        <v>88</v>
      </c>
      <c r="R7" s="44" t="s">
        <v>89</v>
      </c>
      <c r="S7" s="11" t="s">
        <v>39</v>
      </c>
      <c r="T7" s="11" t="s">
        <v>40</v>
      </c>
      <c r="U7" s="11" t="s">
        <v>90</v>
      </c>
      <c r="V7" s="11" t="s">
        <v>40</v>
      </c>
      <c r="W7" s="11" t="s">
        <v>40</v>
      </c>
      <c r="X7" s="46" t="s">
        <v>91</v>
      </c>
      <c r="Y7" s="11" t="s">
        <v>71</v>
      </c>
      <c r="Z7" s="11" t="s">
        <v>72</v>
      </c>
      <c r="AA7" s="11">
        <v>0</v>
      </c>
      <c r="AB7" s="11">
        <v>16.8</v>
      </c>
      <c r="AC7" s="12">
        <v>44717</v>
      </c>
      <c r="AD7" s="12">
        <v>0</v>
      </c>
      <c r="AE7" s="12">
        <v>0</v>
      </c>
      <c r="AF7" s="46"/>
    </row>
    <row r="8" spans="1:32" ht="22.5" customHeight="1" x14ac:dyDescent="0.25">
      <c r="A8" s="8">
        <v>7</v>
      </c>
      <c r="B8" s="9">
        <v>45977</v>
      </c>
      <c r="C8" s="10">
        <v>0.47916666666666669</v>
      </c>
      <c r="D8" s="11" t="s">
        <v>46</v>
      </c>
      <c r="E8" s="11" t="s">
        <v>60</v>
      </c>
      <c r="F8" s="11" t="s">
        <v>47</v>
      </c>
      <c r="G8" s="11" t="s">
        <v>48</v>
      </c>
      <c r="H8" s="11" t="s">
        <v>49</v>
      </c>
      <c r="I8" s="11" t="s">
        <v>50</v>
      </c>
      <c r="J8" s="11" t="s">
        <v>92</v>
      </c>
      <c r="K8" s="11" t="s">
        <v>65</v>
      </c>
      <c r="L8" s="11">
        <v>7</v>
      </c>
      <c r="M8" s="11" t="s">
        <v>93</v>
      </c>
      <c r="N8" s="11" t="s">
        <v>94</v>
      </c>
      <c r="O8" s="11" t="s">
        <v>95</v>
      </c>
      <c r="P8" s="11"/>
      <c r="Q8" s="46" t="s">
        <v>96</v>
      </c>
      <c r="R8" s="44" t="s">
        <v>97</v>
      </c>
      <c r="S8" s="11" t="s">
        <v>98</v>
      </c>
      <c r="T8" s="11" t="s">
        <v>40</v>
      </c>
      <c r="U8" s="11"/>
      <c r="V8" s="11" t="s">
        <v>80</v>
      </c>
      <c r="W8" s="11" t="s">
        <v>80</v>
      </c>
      <c r="X8" s="46"/>
      <c r="Y8" s="11"/>
      <c r="Z8" s="11" t="s">
        <v>59</v>
      </c>
      <c r="AA8" s="11">
        <v>0</v>
      </c>
      <c r="AB8" s="11">
        <v>6.66</v>
      </c>
      <c r="AC8" s="12">
        <v>44717</v>
      </c>
      <c r="AD8" s="12">
        <f>AA8/24*AC8</f>
        <v>0</v>
      </c>
      <c r="AE8" s="12">
        <f>AB8/24*AC8</f>
        <v>12408.967500000001</v>
      </c>
      <c r="AF8" s="46"/>
    </row>
    <row r="9" spans="1:32" ht="22.5" customHeight="1" x14ac:dyDescent="0.25">
      <c r="A9" s="8">
        <v>8</v>
      </c>
      <c r="B9" s="9">
        <v>45981</v>
      </c>
      <c r="C9" s="10">
        <v>0.65625</v>
      </c>
      <c r="D9" s="11" t="s">
        <v>99</v>
      </c>
      <c r="E9" s="11" t="s">
        <v>45</v>
      </c>
      <c r="F9" s="11" t="s">
        <v>100</v>
      </c>
      <c r="G9" s="11" t="s">
        <v>101</v>
      </c>
      <c r="H9" s="11" t="s">
        <v>29</v>
      </c>
      <c r="I9" s="11" t="s">
        <v>102</v>
      </c>
      <c r="J9" s="11" t="s">
        <v>31</v>
      </c>
      <c r="K9" s="11" t="s">
        <v>65</v>
      </c>
      <c r="L9" s="11">
        <v>8</v>
      </c>
      <c r="M9" s="11" t="s">
        <v>51</v>
      </c>
      <c r="N9" s="11" t="s">
        <v>66</v>
      </c>
      <c r="O9" s="11"/>
      <c r="P9" s="11"/>
      <c r="Q9" s="46" t="s">
        <v>103</v>
      </c>
      <c r="R9" s="44" t="s">
        <v>104</v>
      </c>
      <c r="S9" s="11" t="s">
        <v>101</v>
      </c>
      <c r="T9" s="11" t="s">
        <v>40</v>
      </c>
      <c r="U9" s="11" t="s">
        <v>105</v>
      </c>
      <c r="V9" s="11" t="s">
        <v>40</v>
      </c>
      <c r="W9" s="11" t="s">
        <v>40</v>
      </c>
      <c r="X9" s="46" t="s">
        <v>106</v>
      </c>
      <c r="Y9" s="11" t="s">
        <v>107</v>
      </c>
      <c r="Z9" s="11" t="s">
        <v>72</v>
      </c>
      <c r="AA9" s="11">
        <v>0</v>
      </c>
      <c r="AB9" s="11">
        <v>41.8</v>
      </c>
      <c r="AC9" s="12">
        <v>120546.59</v>
      </c>
      <c r="AD9" s="12">
        <v>0</v>
      </c>
      <c r="AE9" s="12">
        <v>0</v>
      </c>
      <c r="AF9" s="46"/>
    </row>
    <row r="10" spans="1:32" ht="22.5" customHeight="1" x14ac:dyDescent="0.25">
      <c r="A10" s="8">
        <v>9</v>
      </c>
      <c r="B10" s="9">
        <v>45982</v>
      </c>
      <c r="C10" s="10">
        <v>0.38541666666666669</v>
      </c>
      <c r="D10" s="11" t="s">
        <v>108</v>
      </c>
      <c r="E10" s="11" t="s">
        <v>60</v>
      </c>
      <c r="F10" s="11" t="s">
        <v>109</v>
      </c>
      <c r="G10" s="11" t="s">
        <v>63</v>
      </c>
      <c r="H10" s="11" t="s">
        <v>49</v>
      </c>
      <c r="I10" s="11" t="s">
        <v>50</v>
      </c>
      <c r="J10" s="11" t="s">
        <v>110</v>
      </c>
      <c r="K10" s="11" t="s">
        <v>32</v>
      </c>
      <c r="L10" s="11">
        <v>9</v>
      </c>
      <c r="M10" s="11" t="s">
        <v>111</v>
      </c>
      <c r="N10" s="11" t="s">
        <v>34</v>
      </c>
      <c r="O10" s="11">
        <v>355</v>
      </c>
      <c r="P10" s="11">
        <v>375</v>
      </c>
      <c r="Q10" s="46" t="s">
        <v>112</v>
      </c>
      <c r="R10" s="44" t="s">
        <v>113</v>
      </c>
      <c r="S10" s="11" t="s">
        <v>63</v>
      </c>
      <c r="T10" s="11" t="s">
        <v>40</v>
      </c>
      <c r="U10" s="11" t="s">
        <v>114</v>
      </c>
      <c r="V10" s="11" t="s">
        <v>40</v>
      </c>
      <c r="W10" s="11" t="s">
        <v>80</v>
      </c>
      <c r="X10" s="46" t="s">
        <v>115</v>
      </c>
      <c r="Y10" s="11" t="s">
        <v>86</v>
      </c>
      <c r="Z10" s="11" t="s">
        <v>72</v>
      </c>
      <c r="AA10" s="11">
        <v>0</v>
      </c>
      <c r="AB10" s="11">
        <v>1.1299999999999999</v>
      </c>
      <c r="AC10" s="12">
        <v>44717</v>
      </c>
      <c r="AD10" s="12">
        <v>0</v>
      </c>
      <c r="AE10" s="12">
        <v>0</v>
      </c>
      <c r="AF10" s="46"/>
    </row>
    <row r="11" spans="1:32" ht="22.5" customHeight="1" x14ac:dyDescent="0.25">
      <c r="A11" s="8">
        <v>10</v>
      </c>
      <c r="B11" s="9">
        <v>45982</v>
      </c>
      <c r="C11" s="10">
        <v>0.44791666666666669</v>
      </c>
      <c r="D11" s="11" t="s">
        <v>108</v>
      </c>
      <c r="E11" s="11" t="s">
        <v>60</v>
      </c>
      <c r="F11" s="11" t="s">
        <v>109</v>
      </c>
      <c r="G11" s="11" t="s">
        <v>63</v>
      </c>
      <c r="H11" s="11" t="s">
        <v>49</v>
      </c>
      <c r="I11" s="11" t="s">
        <v>50</v>
      </c>
      <c r="J11" s="11" t="s">
        <v>110</v>
      </c>
      <c r="K11" s="11" t="s">
        <v>32</v>
      </c>
      <c r="L11" s="11">
        <v>9</v>
      </c>
      <c r="M11" s="11" t="s">
        <v>111</v>
      </c>
      <c r="N11" s="11" t="s">
        <v>34</v>
      </c>
      <c r="O11" s="11">
        <v>325</v>
      </c>
      <c r="P11" s="11">
        <v>345</v>
      </c>
      <c r="Q11" s="46" t="s">
        <v>116</v>
      </c>
      <c r="R11" s="44" t="s">
        <v>113</v>
      </c>
      <c r="S11" s="11" t="s">
        <v>63</v>
      </c>
      <c r="T11" s="11" t="s">
        <v>40</v>
      </c>
      <c r="U11" s="11" t="s">
        <v>114</v>
      </c>
      <c r="V11" s="11" t="s">
        <v>40</v>
      </c>
      <c r="W11" s="11" t="s">
        <v>80</v>
      </c>
      <c r="X11" s="46" t="s">
        <v>115</v>
      </c>
      <c r="Y11" s="11" t="s">
        <v>86</v>
      </c>
      <c r="Z11" s="11" t="s">
        <v>72</v>
      </c>
      <c r="AA11" s="11">
        <v>0</v>
      </c>
      <c r="AB11" s="11">
        <v>1.1299999999999999</v>
      </c>
      <c r="AC11" s="12">
        <v>44717</v>
      </c>
      <c r="AD11" s="12">
        <v>0</v>
      </c>
      <c r="AE11" s="12">
        <v>0</v>
      </c>
      <c r="AF11" s="46"/>
    </row>
    <row r="12" spans="1:32" ht="22.5" customHeight="1" x14ac:dyDescent="0.25">
      <c r="A12" s="8">
        <v>11</v>
      </c>
      <c r="B12" s="9">
        <v>45982</v>
      </c>
      <c r="C12" s="10">
        <v>0.44791666666666669</v>
      </c>
      <c r="D12" s="11" t="s">
        <v>108</v>
      </c>
      <c r="E12" s="11" t="s">
        <v>60</v>
      </c>
      <c r="F12" s="11" t="s">
        <v>109</v>
      </c>
      <c r="G12" s="11" t="s">
        <v>63</v>
      </c>
      <c r="H12" s="11" t="s">
        <v>49</v>
      </c>
      <c r="I12" s="11" t="s">
        <v>50</v>
      </c>
      <c r="J12" s="11" t="s">
        <v>110</v>
      </c>
      <c r="K12" s="11" t="s">
        <v>32</v>
      </c>
      <c r="L12" s="11">
        <v>9</v>
      </c>
      <c r="M12" s="11" t="s">
        <v>111</v>
      </c>
      <c r="N12" s="11" t="s">
        <v>34</v>
      </c>
      <c r="O12" s="11">
        <v>325</v>
      </c>
      <c r="P12" s="11">
        <v>345</v>
      </c>
      <c r="Q12" s="46" t="s">
        <v>117</v>
      </c>
      <c r="R12" s="44" t="s">
        <v>113</v>
      </c>
      <c r="S12" s="11" t="s">
        <v>63</v>
      </c>
      <c r="T12" s="11" t="s">
        <v>40</v>
      </c>
      <c r="U12" s="11" t="s">
        <v>118</v>
      </c>
      <c r="V12" s="11" t="s">
        <v>40</v>
      </c>
      <c r="W12" s="11" t="s">
        <v>80</v>
      </c>
      <c r="X12" s="46" t="s">
        <v>115</v>
      </c>
      <c r="Y12" s="11" t="s">
        <v>119</v>
      </c>
      <c r="Z12" s="11" t="s">
        <v>72</v>
      </c>
      <c r="AA12" s="11">
        <v>0</v>
      </c>
      <c r="AB12" s="11">
        <v>1.1299999999999999</v>
      </c>
      <c r="AC12" s="12">
        <v>44717</v>
      </c>
      <c r="AD12" s="12">
        <v>0</v>
      </c>
      <c r="AE12" s="12">
        <v>0</v>
      </c>
      <c r="AF12" s="46"/>
    </row>
    <row r="13" spans="1:32" ht="22.5" customHeight="1" x14ac:dyDescent="0.25">
      <c r="A13" s="8">
        <v>12</v>
      </c>
      <c r="B13" s="9">
        <v>45982</v>
      </c>
      <c r="C13" s="10">
        <v>0.44791666666666669</v>
      </c>
      <c r="D13" s="11" t="s">
        <v>108</v>
      </c>
      <c r="E13" s="11" t="s">
        <v>60</v>
      </c>
      <c r="F13" s="11" t="s">
        <v>109</v>
      </c>
      <c r="G13" s="11" t="s">
        <v>63</v>
      </c>
      <c r="H13" s="11" t="s">
        <v>49</v>
      </c>
      <c r="I13" s="11" t="s">
        <v>50</v>
      </c>
      <c r="J13" s="11" t="s">
        <v>110</v>
      </c>
      <c r="K13" s="11" t="s">
        <v>32</v>
      </c>
      <c r="L13" s="11">
        <v>9</v>
      </c>
      <c r="M13" s="11" t="s">
        <v>111</v>
      </c>
      <c r="N13" s="11" t="s">
        <v>34</v>
      </c>
      <c r="O13" s="11">
        <v>325</v>
      </c>
      <c r="P13" s="11">
        <v>345</v>
      </c>
      <c r="Q13" s="46" t="s">
        <v>120</v>
      </c>
      <c r="R13" s="44" t="s">
        <v>113</v>
      </c>
      <c r="S13" s="11" t="s">
        <v>63</v>
      </c>
      <c r="T13" s="11" t="s">
        <v>40</v>
      </c>
      <c r="U13" s="11" t="s">
        <v>121</v>
      </c>
      <c r="V13" s="11" t="s">
        <v>40</v>
      </c>
      <c r="W13" s="11" t="s">
        <v>80</v>
      </c>
      <c r="X13" s="46" t="s">
        <v>122</v>
      </c>
      <c r="Y13" s="11" t="s">
        <v>119</v>
      </c>
      <c r="Z13" s="11" t="s">
        <v>123</v>
      </c>
      <c r="AA13" s="11">
        <v>0</v>
      </c>
      <c r="AB13" s="11">
        <v>1.1299999999999999</v>
      </c>
      <c r="AC13" s="12">
        <v>44717</v>
      </c>
      <c r="AD13" s="12">
        <v>0</v>
      </c>
      <c r="AE13" s="12">
        <v>0</v>
      </c>
      <c r="AF13" s="46"/>
    </row>
    <row r="14" spans="1:32" ht="22.5" customHeight="1" x14ac:dyDescent="0.25">
      <c r="A14" s="8">
        <v>13</v>
      </c>
      <c r="B14" s="9">
        <v>45985</v>
      </c>
      <c r="C14" s="10">
        <v>0.35416666666666669</v>
      </c>
      <c r="D14" s="11" t="s">
        <v>99</v>
      </c>
      <c r="E14" s="11" t="s">
        <v>45</v>
      </c>
      <c r="F14" s="11" t="s">
        <v>100</v>
      </c>
      <c r="G14" s="11" t="s">
        <v>101</v>
      </c>
      <c r="H14" s="11" t="s">
        <v>29</v>
      </c>
      <c r="I14" s="11" t="s">
        <v>102</v>
      </c>
      <c r="J14" s="11" t="s">
        <v>31</v>
      </c>
      <c r="K14" s="11" t="s">
        <v>65</v>
      </c>
      <c r="L14" s="11">
        <v>10</v>
      </c>
      <c r="M14" s="11" t="s">
        <v>33</v>
      </c>
      <c r="N14" s="11" t="s">
        <v>34</v>
      </c>
      <c r="O14" s="11">
        <v>230</v>
      </c>
      <c r="P14" s="11">
        <v>240</v>
      </c>
      <c r="Q14" s="46" t="s">
        <v>124</v>
      </c>
      <c r="R14" s="44" t="s">
        <v>125</v>
      </c>
      <c r="S14" s="11" t="s">
        <v>101</v>
      </c>
      <c r="T14" s="11" t="s">
        <v>40</v>
      </c>
      <c r="U14" s="11" t="s">
        <v>121</v>
      </c>
      <c r="V14" s="11" t="s">
        <v>40</v>
      </c>
      <c r="W14" s="11" t="s">
        <v>40</v>
      </c>
      <c r="X14" s="46"/>
      <c r="Y14" s="11" t="s">
        <v>126</v>
      </c>
      <c r="Z14" s="11" t="s">
        <v>72</v>
      </c>
      <c r="AA14" s="11">
        <v>0</v>
      </c>
      <c r="AB14" s="11">
        <v>41.8</v>
      </c>
      <c r="AC14" s="12">
        <v>120546.59</v>
      </c>
      <c r="AD14" s="12">
        <v>0</v>
      </c>
      <c r="AE14" s="12">
        <v>0</v>
      </c>
      <c r="AF14" s="46"/>
    </row>
    <row r="15" spans="1:32" ht="22.5" customHeight="1" x14ac:dyDescent="0.25">
      <c r="A15" s="8">
        <v>14</v>
      </c>
      <c r="B15" s="9">
        <v>45986</v>
      </c>
      <c r="C15" s="10">
        <v>0.45833333333333331</v>
      </c>
      <c r="D15" s="11" t="s">
        <v>99</v>
      </c>
      <c r="E15" s="11" t="s">
        <v>45</v>
      </c>
      <c r="F15" s="11" t="s">
        <v>100</v>
      </c>
      <c r="G15" s="11" t="s">
        <v>101</v>
      </c>
      <c r="H15" s="11" t="s">
        <v>29</v>
      </c>
      <c r="I15" s="11" t="s">
        <v>102</v>
      </c>
      <c r="J15" s="11" t="s">
        <v>110</v>
      </c>
      <c r="K15" s="11" t="s">
        <v>32</v>
      </c>
      <c r="L15" s="11">
        <v>11</v>
      </c>
      <c r="M15" s="11" t="s">
        <v>127</v>
      </c>
      <c r="N15" s="11" t="s">
        <v>34</v>
      </c>
      <c r="O15" s="11">
        <v>210</v>
      </c>
      <c r="P15" s="11">
        <v>220</v>
      </c>
      <c r="Q15" s="46" t="s">
        <v>128</v>
      </c>
      <c r="R15" s="44" t="s">
        <v>129</v>
      </c>
      <c r="S15" s="11" t="s">
        <v>101</v>
      </c>
      <c r="T15" s="11" t="s">
        <v>40</v>
      </c>
      <c r="U15" s="11" t="s">
        <v>121</v>
      </c>
      <c r="V15" s="11" t="s">
        <v>40</v>
      </c>
      <c r="W15" s="11" t="s">
        <v>40</v>
      </c>
      <c r="X15" s="46" t="s">
        <v>130</v>
      </c>
      <c r="Y15" s="11" t="s">
        <v>107</v>
      </c>
      <c r="Z15" s="11" t="s">
        <v>72</v>
      </c>
      <c r="AA15" s="11">
        <v>0</v>
      </c>
      <c r="AB15" s="11">
        <v>41.75</v>
      </c>
      <c r="AC15" s="12">
        <v>120546.59</v>
      </c>
      <c r="AD15" s="12">
        <v>0</v>
      </c>
      <c r="AE15" s="12">
        <v>0</v>
      </c>
      <c r="AF15" s="46"/>
    </row>
    <row r="16" spans="1:32" ht="22.5" customHeight="1" x14ac:dyDescent="0.25">
      <c r="A16" s="8">
        <v>15</v>
      </c>
      <c r="B16" s="9">
        <v>45986</v>
      </c>
      <c r="C16" s="10">
        <v>0.625</v>
      </c>
      <c r="D16" s="11" t="s">
        <v>99</v>
      </c>
      <c r="E16" s="11" t="s">
        <v>45</v>
      </c>
      <c r="F16" s="11" t="s">
        <v>100</v>
      </c>
      <c r="G16" s="11" t="s">
        <v>101</v>
      </c>
      <c r="H16" s="11" t="s">
        <v>29</v>
      </c>
      <c r="I16" s="11" t="s">
        <v>102</v>
      </c>
      <c r="J16" s="11" t="s">
        <v>110</v>
      </c>
      <c r="K16" s="11" t="s">
        <v>32</v>
      </c>
      <c r="L16" s="11">
        <v>12</v>
      </c>
      <c r="M16" s="11" t="s">
        <v>127</v>
      </c>
      <c r="N16" s="11" t="s">
        <v>94</v>
      </c>
      <c r="O16" s="11" t="s">
        <v>131</v>
      </c>
      <c r="P16" s="11" t="s">
        <v>132</v>
      </c>
      <c r="Q16" s="46" t="s">
        <v>133</v>
      </c>
      <c r="R16" s="44" t="s">
        <v>134</v>
      </c>
      <c r="S16" s="11" t="s">
        <v>101</v>
      </c>
      <c r="T16" s="11" t="s">
        <v>40</v>
      </c>
      <c r="U16" s="11" t="s">
        <v>121</v>
      </c>
      <c r="V16" s="11" t="s">
        <v>40</v>
      </c>
      <c r="W16" s="11" t="s">
        <v>40</v>
      </c>
      <c r="X16" s="46" t="s">
        <v>130</v>
      </c>
      <c r="Y16" s="11" t="s">
        <v>135</v>
      </c>
      <c r="Z16" s="11" t="s">
        <v>72</v>
      </c>
      <c r="AA16" s="11">
        <v>0</v>
      </c>
      <c r="AB16" s="11">
        <v>20.88</v>
      </c>
      <c r="AC16" s="12">
        <v>120546.59</v>
      </c>
      <c r="AD16" s="12">
        <v>0</v>
      </c>
      <c r="AE16" s="12">
        <v>0</v>
      </c>
      <c r="AF16" s="46"/>
    </row>
    <row r="17" spans="1:32" ht="22.5" customHeight="1" x14ac:dyDescent="0.25">
      <c r="A17" s="8">
        <v>16</v>
      </c>
      <c r="B17" s="9">
        <v>45988</v>
      </c>
      <c r="C17" s="10">
        <v>0.17708333333333334</v>
      </c>
      <c r="D17" s="11" t="s">
        <v>61</v>
      </c>
      <c r="E17" s="11" t="s">
        <v>73</v>
      </c>
      <c r="F17" s="11" t="s">
        <v>62</v>
      </c>
      <c r="G17" s="11" t="s">
        <v>136</v>
      </c>
      <c r="H17" s="11" t="s">
        <v>49</v>
      </c>
      <c r="I17" s="11" t="s">
        <v>50</v>
      </c>
      <c r="J17" s="11" t="s">
        <v>31</v>
      </c>
      <c r="K17" s="11" t="s">
        <v>32</v>
      </c>
      <c r="L17" s="11">
        <v>13</v>
      </c>
      <c r="M17" s="11" t="s">
        <v>137</v>
      </c>
      <c r="N17" s="11" t="s">
        <v>34</v>
      </c>
      <c r="O17" s="11">
        <v>210</v>
      </c>
      <c r="P17" s="11">
        <v>220</v>
      </c>
      <c r="Q17" s="46" t="s">
        <v>138</v>
      </c>
      <c r="R17" s="44" t="s">
        <v>139</v>
      </c>
      <c r="S17" s="11" t="s">
        <v>136</v>
      </c>
      <c r="T17" s="11" t="s">
        <v>40</v>
      </c>
      <c r="U17" s="11" t="s">
        <v>121</v>
      </c>
      <c r="V17" s="11" t="s">
        <v>40</v>
      </c>
      <c r="W17" s="11" t="s">
        <v>40</v>
      </c>
      <c r="X17" s="46" t="s">
        <v>130</v>
      </c>
      <c r="Y17" s="11" t="s">
        <v>43</v>
      </c>
      <c r="Z17" s="11" t="s">
        <v>123</v>
      </c>
      <c r="AA17" s="11">
        <v>0</v>
      </c>
      <c r="AB17" s="11">
        <v>15</v>
      </c>
      <c r="AC17" s="12">
        <v>44717</v>
      </c>
      <c r="AD17" s="12">
        <v>0</v>
      </c>
      <c r="AE17" s="12">
        <v>0</v>
      </c>
      <c r="AF17" s="46"/>
    </row>
    <row r="18" spans="1:32" ht="22.5" customHeight="1" x14ac:dyDescent="0.25">
      <c r="A18" s="8">
        <v>17</v>
      </c>
      <c r="B18" s="9">
        <v>45988</v>
      </c>
      <c r="C18" s="10">
        <v>0.42708333333333331</v>
      </c>
      <c r="D18" s="11" t="s">
        <v>61</v>
      </c>
      <c r="E18" s="11" t="s">
        <v>73</v>
      </c>
      <c r="F18" s="11" t="s">
        <v>62</v>
      </c>
      <c r="G18" s="11" t="s">
        <v>136</v>
      </c>
      <c r="H18" s="11" t="s">
        <v>49</v>
      </c>
      <c r="I18" s="11" t="s">
        <v>50</v>
      </c>
      <c r="J18" s="11" t="s">
        <v>31</v>
      </c>
      <c r="K18" s="11" t="s">
        <v>32</v>
      </c>
      <c r="L18" s="11">
        <v>13</v>
      </c>
      <c r="M18" s="11" t="s">
        <v>140</v>
      </c>
      <c r="N18" s="11" t="s">
        <v>34</v>
      </c>
      <c r="O18" s="11">
        <v>250</v>
      </c>
      <c r="P18" s="11">
        <v>270</v>
      </c>
      <c r="Q18" s="46" t="s">
        <v>141</v>
      </c>
      <c r="R18" s="44" t="s">
        <v>142</v>
      </c>
      <c r="S18" s="11" t="s">
        <v>136</v>
      </c>
      <c r="T18" s="11" t="s">
        <v>40</v>
      </c>
      <c r="U18" s="11" t="s">
        <v>121</v>
      </c>
      <c r="V18" s="11" t="s">
        <v>40</v>
      </c>
      <c r="W18" s="11" t="s">
        <v>40</v>
      </c>
      <c r="X18" s="46" t="s">
        <v>130</v>
      </c>
      <c r="Y18" s="11" t="s">
        <v>143</v>
      </c>
      <c r="Z18" s="11" t="s">
        <v>72</v>
      </c>
      <c r="AA18" s="11">
        <v>0</v>
      </c>
      <c r="AB18" s="11">
        <v>15</v>
      </c>
      <c r="AC18" s="12">
        <v>44717</v>
      </c>
      <c r="AD18" s="12">
        <v>0</v>
      </c>
      <c r="AE18" s="12">
        <v>0</v>
      </c>
      <c r="AF18" s="46"/>
    </row>
    <row r="19" spans="1:32" ht="22.5" customHeight="1" x14ac:dyDescent="0.25">
      <c r="A19" s="8">
        <v>18</v>
      </c>
      <c r="B19" s="9">
        <v>45988</v>
      </c>
      <c r="C19" s="10">
        <v>0.625</v>
      </c>
      <c r="D19" s="11" t="s">
        <v>99</v>
      </c>
      <c r="E19" s="11" t="s">
        <v>45</v>
      </c>
      <c r="F19" s="11" t="s">
        <v>100</v>
      </c>
      <c r="G19" s="11" t="s">
        <v>101</v>
      </c>
      <c r="H19" s="11" t="s">
        <v>29</v>
      </c>
      <c r="I19" s="11" t="s">
        <v>102</v>
      </c>
      <c r="J19" s="11" t="s">
        <v>110</v>
      </c>
      <c r="K19" s="11" t="s">
        <v>32</v>
      </c>
      <c r="L19" s="11">
        <v>12</v>
      </c>
      <c r="M19" s="11" t="s">
        <v>127</v>
      </c>
      <c r="N19" s="11" t="s">
        <v>94</v>
      </c>
      <c r="O19" s="11" t="s">
        <v>144</v>
      </c>
      <c r="P19" s="11" t="s">
        <v>132</v>
      </c>
      <c r="Q19" s="46" t="s">
        <v>145</v>
      </c>
      <c r="R19" s="44" t="s">
        <v>134</v>
      </c>
      <c r="S19" s="11" t="s">
        <v>101</v>
      </c>
      <c r="T19" s="11" t="s">
        <v>40</v>
      </c>
      <c r="U19" s="11" t="s">
        <v>121</v>
      </c>
      <c r="V19" s="11" t="s">
        <v>40</v>
      </c>
      <c r="W19" s="11" t="s">
        <v>80</v>
      </c>
      <c r="X19" s="46"/>
      <c r="Y19" s="11" t="s">
        <v>146</v>
      </c>
      <c r="Z19" s="11" t="s">
        <v>72</v>
      </c>
      <c r="AA19" s="11">
        <v>0</v>
      </c>
      <c r="AB19" s="11">
        <v>20.88</v>
      </c>
      <c r="AC19" s="12">
        <v>120546.59</v>
      </c>
      <c r="AD19" s="12">
        <v>0</v>
      </c>
      <c r="AE19" s="12">
        <v>0</v>
      </c>
      <c r="AF19" s="46"/>
    </row>
    <row r="20" spans="1:32" ht="22.5" customHeight="1" x14ac:dyDescent="0.25">
      <c r="A20" s="8">
        <v>19</v>
      </c>
      <c r="B20" s="9">
        <v>45989</v>
      </c>
      <c r="C20" s="10">
        <v>0.72916666666666663</v>
      </c>
      <c r="D20" s="11" t="s">
        <v>46</v>
      </c>
      <c r="E20" s="11" t="s">
        <v>60</v>
      </c>
      <c r="F20" s="11" t="s">
        <v>47</v>
      </c>
      <c r="G20" s="11" t="s">
        <v>28</v>
      </c>
      <c r="H20" s="11" t="s">
        <v>49</v>
      </c>
      <c r="I20" s="11" t="s">
        <v>50</v>
      </c>
      <c r="J20" s="11" t="s">
        <v>92</v>
      </c>
      <c r="K20" s="11" t="s">
        <v>65</v>
      </c>
      <c r="L20" s="11">
        <v>14</v>
      </c>
      <c r="M20" s="11" t="s">
        <v>147</v>
      </c>
      <c r="N20" s="11" t="s">
        <v>75</v>
      </c>
      <c r="O20" s="11">
        <v>40</v>
      </c>
      <c r="P20" s="11">
        <v>30</v>
      </c>
      <c r="Q20" s="46" t="s">
        <v>148</v>
      </c>
      <c r="R20" s="44" t="s">
        <v>149</v>
      </c>
      <c r="S20" s="11" t="s">
        <v>28</v>
      </c>
      <c r="T20" s="11" t="s">
        <v>40</v>
      </c>
      <c r="U20" s="11" t="s">
        <v>150</v>
      </c>
      <c r="V20" s="11" t="s">
        <v>40</v>
      </c>
      <c r="W20" s="11" t="s">
        <v>80</v>
      </c>
      <c r="X20" s="46" t="s">
        <v>151</v>
      </c>
      <c r="Y20" s="11" t="s">
        <v>71</v>
      </c>
      <c r="Z20" s="11" t="s">
        <v>72</v>
      </c>
      <c r="AA20" s="11">
        <v>0</v>
      </c>
      <c r="AB20" s="11">
        <v>12</v>
      </c>
      <c r="AC20" s="12">
        <v>44717</v>
      </c>
      <c r="AD20" s="12">
        <f>AA20/24*AC20</f>
        <v>0</v>
      </c>
      <c r="AE20" s="12">
        <f>AB20/24*AC20</f>
        <v>22358.5</v>
      </c>
      <c r="AF20" s="46"/>
    </row>
    <row r="21" spans="1:32" ht="22.5" customHeight="1" x14ac:dyDescent="0.25">
      <c r="A21" s="8">
        <v>20</v>
      </c>
      <c r="B21" s="9">
        <v>45990</v>
      </c>
      <c r="C21" s="10">
        <v>0.17986111111111111</v>
      </c>
      <c r="D21" s="11" t="s">
        <v>46</v>
      </c>
      <c r="E21" s="11" t="s">
        <v>60</v>
      </c>
      <c r="F21" s="11" t="s">
        <v>47</v>
      </c>
      <c r="G21" s="11" t="s">
        <v>28</v>
      </c>
      <c r="H21" s="11" t="s">
        <v>49</v>
      </c>
      <c r="I21" s="11" t="s">
        <v>50</v>
      </c>
      <c r="J21" s="11" t="s">
        <v>31</v>
      </c>
      <c r="K21" s="11" t="s">
        <v>32</v>
      </c>
      <c r="L21" s="11">
        <v>15</v>
      </c>
      <c r="M21" s="11" t="s">
        <v>152</v>
      </c>
      <c r="N21" s="11" t="s">
        <v>34</v>
      </c>
      <c r="O21" s="11">
        <v>280</v>
      </c>
      <c r="P21" s="11">
        <v>295</v>
      </c>
      <c r="Q21" s="46" t="s">
        <v>153</v>
      </c>
      <c r="R21" s="44" t="s">
        <v>154</v>
      </c>
      <c r="S21" s="11" t="s">
        <v>28</v>
      </c>
      <c r="T21" s="11" t="s">
        <v>40</v>
      </c>
      <c r="U21" s="11" t="s">
        <v>155</v>
      </c>
      <c r="V21" s="11" t="s">
        <v>80</v>
      </c>
      <c r="W21" s="11" t="s">
        <v>80</v>
      </c>
      <c r="X21" s="46"/>
      <c r="Y21" s="11" t="s">
        <v>86</v>
      </c>
      <c r="Z21" s="11" t="s">
        <v>123</v>
      </c>
      <c r="AA21" s="11">
        <v>0</v>
      </c>
      <c r="AB21" s="11">
        <v>0</v>
      </c>
      <c r="AC21" s="12">
        <v>44717</v>
      </c>
      <c r="AD21" s="12">
        <v>0</v>
      </c>
      <c r="AE21" s="12">
        <v>0</v>
      </c>
      <c r="AF21" s="46"/>
    </row>
    <row r="22" spans="1:32" ht="22.5" customHeight="1" x14ac:dyDescent="0.25">
      <c r="A22" s="8">
        <v>21</v>
      </c>
      <c r="B22" s="9">
        <v>45990</v>
      </c>
      <c r="C22" s="10">
        <v>0.22430555555555556</v>
      </c>
      <c r="D22" s="11" t="s">
        <v>46</v>
      </c>
      <c r="E22" s="11" t="s">
        <v>60</v>
      </c>
      <c r="F22" s="11" t="s">
        <v>47</v>
      </c>
      <c r="G22" s="11" t="s">
        <v>28</v>
      </c>
      <c r="H22" s="11" t="s">
        <v>49</v>
      </c>
      <c r="I22" s="11" t="s">
        <v>50</v>
      </c>
      <c r="J22" s="11" t="s">
        <v>31</v>
      </c>
      <c r="K22" s="11" t="s">
        <v>32</v>
      </c>
      <c r="L22" s="11">
        <v>15</v>
      </c>
      <c r="M22" s="11" t="s">
        <v>152</v>
      </c>
      <c r="N22" s="11" t="s">
        <v>34</v>
      </c>
      <c r="O22" s="11">
        <v>280</v>
      </c>
      <c r="P22" s="11">
        <v>295</v>
      </c>
      <c r="Q22" s="46" t="s">
        <v>156</v>
      </c>
      <c r="R22" s="44" t="s">
        <v>157</v>
      </c>
      <c r="S22" s="11" t="s">
        <v>28</v>
      </c>
      <c r="T22" s="11" t="s">
        <v>40</v>
      </c>
      <c r="U22" s="11" t="s">
        <v>158</v>
      </c>
      <c r="V22" s="11" t="s">
        <v>40</v>
      </c>
      <c r="W22" s="11" t="s">
        <v>40</v>
      </c>
      <c r="X22" s="46" t="s">
        <v>159</v>
      </c>
      <c r="Y22" s="11" t="s">
        <v>86</v>
      </c>
      <c r="Z22" s="11" t="s">
        <v>123</v>
      </c>
      <c r="AA22" s="11">
        <v>0</v>
      </c>
      <c r="AB22" s="11">
        <v>48</v>
      </c>
      <c r="AC22" s="12">
        <v>44717</v>
      </c>
      <c r="AD22" s="12">
        <v>0</v>
      </c>
      <c r="AE22" s="12">
        <v>0</v>
      </c>
      <c r="AF22" s="46"/>
    </row>
    <row r="23" spans="1:32" ht="22.5" customHeight="1" x14ac:dyDescent="0.25">
      <c r="A23" s="8">
        <v>22</v>
      </c>
      <c r="B23" s="9">
        <v>45990</v>
      </c>
      <c r="C23" s="10">
        <v>0.34027777777777779</v>
      </c>
      <c r="D23" s="11" t="s">
        <v>46</v>
      </c>
      <c r="E23" s="11" t="s">
        <v>60</v>
      </c>
      <c r="F23" s="11" t="s">
        <v>47</v>
      </c>
      <c r="G23" s="11" t="s">
        <v>28</v>
      </c>
      <c r="H23" s="11" t="s">
        <v>49</v>
      </c>
      <c r="I23" s="11" t="s">
        <v>50</v>
      </c>
      <c r="J23" s="11" t="s">
        <v>31</v>
      </c>
      <c r="K23" s="11" t="s">
        <v>32</v>
      </c>
      <c r="L23" s="11">
        <v>15</v>
      </c>
      <c r="M23" s="11" t="s">
        <v>152</v>
      </c>
      <c r="N23" s="11" t="s">
        <v>34</v>
      </c>
      <c r="O23" s="11">
        <v>270</v>
      </c>
      <c r="P23" s="11">
        <v>285</v>
      </c>
      <c r="Q23" s="46" t="s">
        <v>160</v>
      </c>
      <c r="R23" s="44" t="s">
        <v>161</v>
      </c>
      <c r="S23" s="11" t="s">
        <v>28</v>
      </c>
      <c r="T23" s="11" t="s">
        <v>40</v>
      </c>
      <c r="U23" s="11" t="s">
        <v>162</v>
      </c>
      <c r="V23" s="11" t="s">
        <v>40</v>
      </c>
      <c r="W23" s="11" t="s">
        <v>80</v>
      </c>
      <c r="X23" s="46"/>
      <c r="Y23" s="11" t="s">
        <v>107</v>
      </c>
      <c r="Z23" s="11" t="s">
        <v>72</v>
      </c>
      <c r="AA23" s="11">
        <v>0</v>
      </c>
      <c r="AB23" s="11">
        <v>0</v>
      </c>
      <c r="AC23" s="12">
        <v>44717</v>
      </c>
      <c r="AD23" s="12">
        <v>0</v>
      </c>
      <c r="AE23" s="12">
        <v>0</v>
      </c>
      <c r="AF23" s="46"/>
    </row>
    <row r="24" spans="1:32" ht="22.5" customHeight="1" x14ac:dyDescent="0.25">
      <c r="A24" s="8">
        <v>23</v>
      </c>
      <c r="B24" s="9">
        <v>45992</v>
      </c>
      <c r="C24" s="10">
        <v>0.74305555555555558</v>
      </c>
      <c r="D24" s="11" t="s">
        <v>108</v>
      </c>
      <c r="E24" s="11" t="s">
        <v>60</v>
      </c>
      <c r="F24" s="11" t="s">
        <v>109</v>
      </c>
      <c r="G24" s="11" t="s">
        <v>163</v>
      </c>
      <c r="H24" s="11" t="s">
        <v>49</v>
      </c>
      <c r="I24" s="11" t="s">
        <v>50</v>
      </c>
      <c r="J24" s="11" t="s">
        <v>31</v>
      </c>
      <c r="K24" s="11" t="s">
        <v>32</v>
      </c>
      <c r="L24" s="11">
        <v>16</v>
      </c>
      <c r="M24" s="11" t="s">
        <v>164</v>
      </c>
      <c r="N24" s="11" t="s">
        <v>165</v>
      </c>
      <c r="O24" s="11">
        <v>30</v>
      </c>
      <c r="P24" s="11">
        <v>0</v>
      </c>
      <c r="Q24" s="46" t="s">
        <v>166</v>
      </c>
      <c r="R24" s="44" t="s">
        <v>167</v>
      </c>
      <c r="S24" s="11" t="s">
        <v>136</v>
      </c>
      <c r="T24" s="11" t="s">
        <v>40</v>
      </c>
      <c r="U24" s="11"/>
      <c r="V24" s="11" t="s">
        <v>40</v>
      </c>
      <c r="W24" s="11" t="s">
        <v>40</v>
      </c>
      <c r="X24" s="46" t="s">
        <v>168</v>
      </c>
      <c r="Y24" s="11"/>
      <c r="Z24" s="11" t="s">
        <v>72</v>
      </c>
      <c r="AA24" s="11">
        <v>0</v>
      </c>
      <c r="AB24" s="11">
        <v>22.3</v>
      </c>
      <c r="AC24" s="12">
        <v>44717</v>
      </c>
      <c r="AD24" s="12">
        <v>0</v>
      </c>
      <c r="AE24" s="12">
        <v>0</v>
      </c>
      <c r="AF24" s="46"/>
    </row>
    <row r="25" spans="1:32" ht="22.5" customHeight="1" x14ac:dyDescent="0.25">
      <c r="A25" s="8">
        <v>24</v>
      </c>
      <c r="B25" s="9">
        <v>45993</v>
      </c>
      <c r="C25" s="10">
        <v>0.55208333333333337</v>
      </c>
      <c r="D25" s="11" t="s">
        <v>99</v>
      </c>
      <c r="E25" s="11" t="s">
        <v>45</v>
      </c>
      <c r="F25" s="11" t="s">
        <v>100</v>
      </c>
      <c r="G25" s="11" t="s">
        <v>169</v>
      </c>
      <c r="H25" s="11" t="s">
        <v>29</v>
      </c>
      <c r="I25" s="11" t="s">
        <v>102</v>
      </c>
      <c r="J25" s="11" t="s">
        <v>31</v>
      </c>
      <c r="K25" s="11" t="s">
        <v>65</v>
      </c>
      <c r="L25" s="11">
        <v>17</v>
      </c>
      <c r="M25" s="11" t="s">
        <v>170</v>
      </c>
      <c r="N25" s="11" t="s">
        <v>171</v>
      </c>
      <c r="O25" s="11">
        <v>10</v>
      </c>
      <c r="P25" s="11">
        <v>7</v>
      </c>
      <c r="Q25" s="46" t="s">
        <v>172</v>
      </c>
      <c r="R25" s="44" t="s">
        <v>104</v>
      </c>
      <c r="S25" s="11" t="s">
        <v>173</v>
      </c>
      <c r="T25" s="11" t="s">
        <v>40</v>
      </c>
      <c r="U25" s="11" t="s">
        <v>105</v>
      </c>
      <c r="V25" s="11" t="s">
        <v>40</v>
      </c>
      <c r="W25" s="11" t="s">
        <v>40</v>
      </c>
      <c r="X25" s="46" t="s">
        <v>106</v>
      </c>
      <c r="Y25" s="11"/>
      <c r="Z25" s="11" t="s">
        <v>72</v>
      </c>
      <c r="AA25" s="11">
        <v>0</v>
      </c>
      <c r="AB25" s="11">
        <v>22.3</v>
      </c>
      <c r="AC25" s="12">
        <v>120546.59</v>
      </c>
      <c r="AD25" s="12">
        <v>0</v>
      </c>
      <c r="AE25" s="12">
        <v>0</v>
      </c>
      <c r="AF25" s="46"/>
    </row>
    <row r="26" spans="1:32" ht="22.5" customHeight="1" x14ac:dyDescent="0.25">
      <c r="A26" s="8">
        <v>25</v>
      </c>
      <c r="B26" s="9">
        <v>45993</v>
      </c>
      <c r="C26" s="10">
        <v>0.91666666666666663</v>
      </c>
      <c r="D26" s="11" t="s">
        <v>108</v>
      </c>
      <c r="E26" s="11" t="s">
        <v>60</v>
      </c>
      <c r="F26" s="11" t="s">
        <v>109</v>
      </c>
      <c r="G26" s="11" t="s">
        <v>163</v>
      </c>
      <c r="H26" s="11" t="s">
        <v>49</v>
      </c>
      <c r="I26" s="11" t="s">
        <v>50</v>
      </c>
      <c r="J26" s="11" t="s">
        <v>31</v>
      </c>
      <c r="K26" s="11" t="s">
        <v>32</v>
      </c>
      <c r="L26" s="11">
        <v>18</v>
      </c>
      <c r="M26" s="11" t="s">
        <v>170</v>
      </c>
      <c r="N26" s="11" t="s">
        <v>66</v>
      </c>
      <c r="O26" s="11">
        <v>900</v>
      </c>
      <c r="P26" s="11">
        <v>0</v>
      </c>
      <c r="Q26" s="46" t="s">
        <v>174</v>
      </c>
      <c r="R26" s="44" t="s">
        <v>175</v>
      </c>
      <c r="S26" s="11" t="s">
        <v>136</v>
      </c>
      <c r="T26" s="11" t="s">
        <v>40</v>
      </c>
      <c r="U26" s="11" t="s">
        <v>176</v>
      </c>
      <c r="V26" s="11" t="s">
        <v>40</v>
      </c>
      <c r="W26" s="11" t="s">
        <v>40</v>
      </c>
      <c r="X26" s="46" t="s">
        <v>177</v>
      </c>
      <c r="Y26" s="11" t="s">
        <v>86</v>
      </c>
      <c r="Z26" s="11" t="s">
        <v>123</v>
      </c>
      <c r="AA26" s="11">
        <v>0</v>
      </c>
      <c r="AB26" s="11">
        <v>17.75</v>
      </c>
      <c r="AC26" s="12">
        <v>44717</v>
      </c>
      <c r="AD26" s="12">
        <v>0</v>
      </c>
      <c r="AE26" s="12">
        <v>0</v>
      </c>
      <c r="AF26" s="46"/>
    </row>
    <row r="27" spans="1:32" ht="22.5" customHeight="1" x14ac:dyDescent="0.25">
      <c r="A27" s="8">
        <v>26</v>
      </c>
      <c r="B27" s="9">
        <v>45996</v>
      </c>
      <c r="C27" s="10">
        <v>0.52777777777777779</v>
      </c>
      <c r="D27" s="11" t="s">
        <v>99</v>
      </c>
      <c r="E27" s="11" t="s">
        <v>45</v>
      </c>
      <c r="F27" s="11" t="s">
        <v>100</v>
      </c>
      <c r="G27" s="11" t="s">
        <v>169</v>
      </c>
      <c r="H27" s="11" t="s">
        <v>29</v>
      </c>
      <c r="I27" s="11" t="s">
        <v>102</v>
      </c>
      <c r="J27" s="11" t="s">
        <v>31</v>
      </c>
      <c r="K27" s="11" t="s">
        <v>65</v>
      </c>
      <c r="L27" s="11">
        <v>17</v>
      </c>
      <c r="M27" s="11" t="s">
        <v>170</v>
      </c>
      <c r="N27" s="11" t="s">
        <v>171</v>
      </c>
      <c r="O27" s="11">
        <v>10</v>
      </c>
      <c r="P27" s="11">
        <v>7</v>
      </c>
      <c r="Q27" s="46" t="s">
        <v>172</v>
      </c>
      <c r="R27" s="44" t="s">
        <v>178</v>
      </c>
      <c r="S27" s="11" t="s">
        <v>179</v>
      </c>
      <c r="T27" s="11" t="s">
        <v>40</v>
      </c>
      <c r="U27" s="11" t="s">
        <v>180</v>
      </c>
      <c r="V27" s="11" t="s">
        <v>40</v>
      </c>
      <c r="W27" s="11" t="s">
        <v>40</v>
      </c>
      <c r="X27" s="46" t="s">
        <v>106</v>
      </c>
      <c r="Y27" s="11" t="s">
        <v>107</v>
      </c>
      <c r="Z27" s="11" t="s">
        <v>123</v>
      </c>
      <c r="AA27" s="11">
        <v>0</v>
      </c>
      <c r="AB27" s="11">
        <v>22.3</v>
      </c>
      <c r="AC27" s="12">
        <v>120546.59</v>
      </c>
      <c r="AD27" s="12">
        <v>0</v>
      </c>
      <c r="AE27" s="12">
        <v>0</v>
      </c>
      <c r="AF27" s="46"/>
    </row>
    <row r="28" spans="1:32" ht="22.5" customHeight="1" x14ac:dyDescent="0.25">
      <c r="A28" s="8">
        <v>27</v>
      </c>
      <c r="B28" s="9">
        <v>45996</v>
      </c>
      <c r="C28" s="10">
        <v>0.60416666666666663</v>
      </c>
      <c r="D28" s="11" t="s">
        <v>99</v>
      </c>
      <c r="E28" s="11" t="s">
        <v>45</v>
      </c>
      <c r="F28" s="11" t="s">
        <v>100</v>
      </c>
      <c r="G28" s="11" t="s">
        <v>169</v>
      </c>
      <c r="H28" s="11" t="s">
        <v>29</v>
      </c>
      <c r="I28" s="11" t="s">
        <v>102</v>
      </c>
      <c r="J28" s="11" t="s">
        <v>110</v>
      </c>
      <c r="K28" s="11" t="s">
        <v>32</v>
      </c>
      <c r="L28" s="11">
        <v>20</v>
      </c>
      <c r="M28" s="11" t="s">
        <v>170</v>
      </c>
      <c r="N28" s="11" t="s">
        <v>34</v>
      </c>
      <c r="O28" s="11">
        <v>10</v>
      </c>
      <c r="P28" s="11">
        <v>7</v>
      </c>
      <c r="Q28" s="46" t="s">
        <v>181</v>
      </c>
      <c r="R28" s="44" t="s">
        <v>182</v>
      </c>
      <c r="S28" s="11" t="s">
        <v>179</v>
      </c>
      <c r="T28" s="11" t="s">
        <v>40</v>
      </c>
      <c r="U28" s="11" t="s">
        <v>183</v>
      </c>
      <c r="V28" s="11" t="s">
        <v>40</v>
      </c>
      <c r="W28" s="11" t="s">
        <v>40</v>
      </c>
      <c r="X28" s="46" t="s">
        <v>106</v>
      </c>
      <c r="Y28" s="11" t="s">
        <v>184</v>
      </c>
      <c r="Z28" s="11" t="s">
        <v>72</v>
      </c>
      <c r="AA28" s="11">
        <v>0</v>
      </c>
      <c r="AB28" s="11">
        <v>11.13</v>
      </c>
      <c r="AC28" s="12">
        <v>120546.59</v>
      </c>
      <c r="AD28" s="12">
        <v>0</v>
      </c>
      <c r="AE28" s="12">
        <v>0</v>
      </c>
      <c r="AF28" s="46"/>
    </row>
    <row r="29" spans="1:32" ht="22.5" customHeight="1" x14ac:dyDescent="0.25">
      <c r="A29" s="8">
        <v>28</v>
      </c>
      <c r="B29" s="9">
        <v>45998</v>
      </c>
      <c r="C29" s="10">
        <v>0.53125</v>
      </c>
      <c r="D29" s="11" t="s">
        <v>108</v>
      </c>
      <c r="E29" s="11" t="s">
        <v>60</v>
      </c>
      <c r="F29" s="11" t="s">
        <v>109</v>
      </c>
      <c r="G29" s="11" t="s">
        <v>163</v>
      </c>
      <c r="H29" s="11" t="s">
        <v>49</v>
      </c>
      <c r="I29" s="11" t="s">
        <v>50</v>
      </c>
      <c r="J29" s="11" t="s">
        <v>110</v>
      </c>
      <c r="K29" s="11" t="s">
        <v>32</v>
      </c>
      <c r="L29" s="11">
        <v>21</v>
      </c>
      <c r="M29" s="11" t="s">
        <v>170</v>
      </c>
      <c r="N29" s="11" t="s">
        <v>165</v>
      </c>
      <c r="O29" s="11">
        <v>40</v>
      </c>
      <c r="P29" s="11">
        <v>0</v>
      </c>
      <c r="Q29" s="46" t="s">
        <v>185</v>
      </c>
      <c r="R29" s="44" t="s">
        <v>186</v>
      </c>
      <c r="S29" s="11" t="s">
        <v>136</v>
      </c>
      <c r="T29" s="11" t="s">
        <v>40</v>
      </c>
      <c r="U29" s="11" t="s">
        <v>180</v>
      </c>
      <c r="V29" s="11" t="s">
        <v>40</v>
      </c>
      <c r="W29" s="11" t="s">
        <v>40</v>
      </c>
      <c r="X29" s="46" t="s">
        <v>106</v>
      </c>
      <c r="Y29" s="11" t="s">
        <v>71</v>
      </c>
      <c r="Z29" s="11" t="s">
        <v>72</v>
      </c>
      <c r="AA29" s="11">
        <v>0</v>
      </c>
      <c r="AB29" s="11">
        <v>1.39</v>
      </c>
      <c r="AC29" s="12">
        <v>44717</v>
      </c>
      <c r="AD29" s="12">
        <v>0</v>
      </c>
      <c r="AE29" s="12">
        <v>0</v>
      </c>
      <c r="AF29" s="46"/>
    </row>
    <row r="30" spans="1:32" ht="22.5" customHeight="1" x14ac:dyDescent="0.25">
      <c r="A30" s="8">
        <v>29</v>
      </c>
      <c r="B30" s="9">
        <v>45998</v>
      </c>
      <c r="C30" s="10">
        <v>0.91666666666666663</v>
      </c>
      <c r="D30" s="11" t="s">
        <v>108</v>
      </c>
      <c r="E30" s="11" t="s">
        <v>60</v>
      </c>
      <c r="F30" s="11" t="s">
        <v>109</v>
      </c>
      <c r="G30" s="11" t="s">
        <v>163</v>
      </c>
      <c r="H30" s="11" t="s">
        <v>49</v>
      </c>
      <c r="I30" s="11" t="s">
        <v>50</v>
      </c>
      <c r="J30" s="11" t="s">
        <v>31</v>
      </c>
      <c r="K30" s="11" t="s">
        <v>32</v>
      </c>
      <c r="L30" s="11">
        <v>18</v>
      </c>
      <c r="M30" s="11" t="s">
        <v>170</v>
      </c>
      <c r="N30" s="11" t="s">
        <v>66</v>
      </c>
      <c r="O30" s="11">
        <v>0</v>
      </c>
      <c r="P30" s="11">
        <v>840</v>
      </c>
      <c r="Q30" s="46" t="s">
        <v>187</v>
      </c>
      <c r="R30" s="44" t="s">
        <v>188</v>
      </c>
      <c r="S30" s="11" t="s">
        <v>136</v>
      </c>
      <c r="T30" s="11" t="s">
        <v>40</v>
      </c>
      <c r="U30" s="11" t="s">
        <v>176</v>
      </c>
      <c r="V30" s="11" t="s">
        <v>40</v>
      </c>
      <c r="W30" s="11" t="s">
        <v>40</v>
      </c>
      <c r="X30" s="46" t="s">
        <v>189</v>
      </c>
      <c r="Y30" s="11" t="s">
        <v>86</v>
      </c>
      <c r="Z30" s="11" t="s">
        <v>72</v>
      </c>
      <c r="AA30" s="11">
        <v>0</v>
      </c>
      <c r="AB30" s="11">
        <v>9.5</v>
      </c>
      <c r="AC30" s="12">
        <v>44717</v>
      </c>
      <c r="AD30" s="12">
        <v>0</v>
      </c>
      <c r="AE30" s="12">
        <v>0</v>
      </c>
      <c r="AF30" s="46"/>
    </row>
    <row r="31" spans="1:32" ht="22.5" customHeight="1" x14ac:dyDescent="0.25">
      <c r="A31" s="8">
        <v>30</v>
      </c>
      <c r="B31" s="9">
        <v>45999</v>
      </c>
      <c r="C31" s="10">
        <v>0.60416666666666663</v>
      </c>
      <c r="D31" s="11" t="s">
        <v>99</v>
      </c>
      <c r="E31" s="11" t="s">
        <v>45</v>
      </c>
      <c r="F31" s="11" t="s">
        <v>100</v>
      </c>
      <c r="G31" s="11" t="s">
        <v>169</v>
      </c>
      <c r="H31" s="11" t="s">
        <v>29</v>
      </c>
      <c r="I31" s="11" t="s">
        <v>102</v>
      </c>
      <c r="J31" s="11" t="s">
        <v>110</v>
      </c>
      <c r="K31" s="11" t="s">
        <v>32</v>
      </c>
      <c r="L31" s="11">
        <v>20</v>
      </c>
      <c r="M31" s="11" t="s">
        <v>170</v>
      </c>
      <c r="N31" s="11" t="s">
        <v>34</v>
      </c>
      <c r="O31" s="11"/>
      <c r="P31" s="11"/>
      <c r="Q31" s="46" t="s">
        <v>190</v>
      </c>
      <c r="R31" s="44" t="s">
        <v>191</v>
      </c>
      <c r="S31" s="11" t="s">
        <v>179</v>
      </c>
      <c r="T31" s="11" t="s">
        <v>40</v>
      </c>
      <c r="U31" s="11" t="s">
        <v>192</v>
      </c>
      <c r="V31" s="11" t="s">
        <v>80</v>
      </c>
      <c r="W31" s="11" t="s">
        <v>80</v>
      </c>
      <c r="X31" s="46"/>
      <c r="Y31" s="11" t="s">
        <v>107</v>
      </c>
      <c r="Z31" s="11" t="s">
        <v>123</v>
      </c>
      <c r="AA31" s="11">
        <v>0</v>
      </c>
      <c r="AB31" s="11">
        <v>11.13</v>
      </c>
      <c r="AC31" s="12">
        <v>120546.59</v>
      </c>
      <c r="AD31" s="12">
        <v>0</v>
      </c>
      <c r="AE31" s="12">
        <v>0</v>
      </c>
      <c r="AF31" s="46"/>
    </row>
    <row r="32" spans="1:32" ht="22.5" customHeight="1" x14ac:dyDescent="0.25">
      <c r="A32" s="8">
        <v>31</v>
      </c>
      <c r="B32" s="9">
        <v>45999</v>
      </c>
      <c r="C32" s="10">
        <v>0.33333333333333331</v>
      </c>
      <c r="D32" s="11" t="s">
        <v>61</v>
      </c>
      <c r="E32" s="11" t="s">
        <v>73</v>
      </c>
      <c r="F32" s="11" t="s">
        <v>62</v>
      </c>
      <c r="G32" s="11" t="s">
        <v>136</v>
      </c>
      <c r="H32" s="11" t="s">
        <v>49</v>
      </c>
      <c r="I32" s="11" t="s">
        <v>50</v>
      </c>
      <c r="J32" s="11" t="s">
        <v>92</v>
      </c>
      <c r="K32" s="11" t="s">
        <v>193</v>
      </c>
      <c r="L32" s="11">
        <v>21</v>
      </c>
      <c r="M32" s="11" t="s">
        <v>194</v>
      </c>
      <c r="N32" s="11"/>
      <c r="O32" s="11"/>
      <c r="P32" s="11"/>
      <c r="Q32" s="46" t="s">
        <v>195</v>
      </c>
      <c r="R32" s="44" t="s">
        <v>196</v>
      </c>
      <c r="S32" s="11" t="s">
        <v>101</v>
      </c>
      <c r="T32" s="11" t="s">
        <v>40</v>
      </c>
      <c r="U32" s="11" t="s">
        <v>197</v>
      </c>
      <c r="V32" s="11" t="s">
        <v>40</v>
      </c>
      <c r="W32" s="11" t="s">
        <v>80</v>
      </c>
      <c r="X32" s="46" t="s">
        <v>198</v>
      </c>
      <c r="Y32" s="11" t="s">
        <v>71</v>
      </c>
      <c r="Z32" s="11" t="s">
        <v>72</v>
      </c>
      <c r="AA32" s="11">
        <v>0</v>
      </c>
      <c r="AB32" s="11">
        <v>12</v>
      </c>
      <c r="AC32" s="12">
        <v>44717</v>
      </c>
      <c r="AD32" s="12">
        <f>AA32/24*AC32</f>
        <v>0</v>
      </c>
      <c r="AE32" s="12">
        <f>AB32/24*AC32</f>
        <v>22358.5</v>
      </c>
      <c r="AF32" s="46"/>
    </row>
    <row r="33" spans="1:32" ht="22.5" customHeight="1" x14ac:dyDescent="0.25">
      <c r="A33" s="8">
        <v>32</v>
      </c>
      <c r="B33" s="9">
        <v>45999</v>
      </c>
      <c r="C33" s="10">
        <v>0.34375</v>
      </c>
      <c r="D33" s="11" t="s">
        <v>199</v>
      </c>
      <c r="E33" s="11" t="s">
        <v>45</v>
      </c>
      <c r="F33" s="11" t="s">
        <v>200</v>
      </c>
      <c r="G33" s="11" t="s">
        <v>101</v>
      </c>
      <c r="H33" s="11" t="s">
        <v>29</v>
      </c>
      <c r="I33" s="11" t="s">
        <v>201</v>
      </c>
      <c r="J33" s="11" t="s">
        <v>31</v>
      </c>
      <c r="K33" s="11" t="s">
        <v>193</v>
      </c>
      <c r="L33" s="11">
        <v>22</v>
      </c>
      <c r="M33" s="11" t="s">
        <v>202</v>
      </c>
      <c r="N33" s="11"/>
      <c r="O33" s="11"/>
      <c r="P33" s="11"/>
      <c r="Q33" s="46" t="s">
        <v>203</v>
      </c>
      <c r="R33" s="44" t="s">
        <v>204</v>
      </c>
      <c r="S33" s="11" t="s">
        <v>205</v>
      </c>
      <c r="T33" s="11" t="s">
        <v>40</v>
      </c>
      <c r="U33" s="11" t="s">
        <v>197</v>
      </c>
      <c r="V33" s="11" t="s">
        <v>40</v>
      </c>
      <c r="W33" s="11" t="s">
        <v>40</v>
      </c>
      <c r="X33" s="46" t="s">
        <v>42</v>
      </c>
      <c r="Y33" s="11" t="s">
        <v>206</v>
      </c>
      <c r="Z33" s="11" t="s">
        <v>72</v>
      </c>
      <c r="AA33" s="11">
        <v>0</v>
      </c>
      <c r="AB33" s="11">
        <v>0</v>
      </c>
      <c r="AC33" s="12">
        <v>169168.82</v>
      </c>
      <c r="AD33" s="12">
        <v>0</v>
      </c>
      <c r="AE33" s="12">
        <v>0</v>
      </c>
      <c r="AF33" s="46"/>
    </row>
    <row r="34" spans="1:32" ht="22.5" customHeight="1" x14ac:dyDescent="0.25">
      <c r="A34" s="8">
        <v>33</v>
      </c>
      <c r="B34" s="9">
        <v>45999</v>
      </c>
      <c r="C34" s="10">
        <v>0.33333333333333331</v>
      </c>
      <c r="D34" s="11" t="s">
        <v>61</v>
      </c>
      <c r="E34" s="11" t="s">
        <v>73</v>
      </c>
      <c r="F34" s="11" t="s">
        <v>62</v>
      </c>
      <c r="G34" s="11" t="s">
        <v>136</v>
      </c>
      <c r="H34" s="11" t="s">
        <v>49</v>
      </c>
      <c r="I34" s="11" t="s">
        <v>50</v>
      </c>
      <c r="J34" s="11" t="s">
        <v>31</v>
      </c>
      <c r="K34" s="11" t="s">
        <v>193</v>
      </c>
      <c r="L34" s="11">
        <v>21</v>
      </c>
      <c r="M34" s="11" t="s">
        <v>194</v>
      </c>
      <c r="N34" s="11"/>
      <c r="O34" s="11"/>
      <c r="P34" s="11"/>
      <c r="Q34" s="46" t="s">
        <v>207</v>
      </c>
      <c r="R34" s="44" t="s">
        <v>208</v>
      </c>
      <c r="S34" s="11" t="s">
        <v>101</v>
      </c>
      <c r="T34" s="11" t="s">
        <v>40</v>
      </c>
      <c r="U34" s="11" t="s">
        <v>197</v>
      </c>
      <c r="V34" s="11" t="s">
        <v>40</v>
      </c>
      <c r="W34" s="11" t="s">
        <v>80</v>
      </c>
      <c r="X34" s="46" t="s">
        <v>198</v>
      </c>
      <c r="Y34" s="11" t="s">
        <v>86</v>
      </c>
      <c r="Z34" s="11" t="s">
        <v>72</v>
      </c>
      <c r="AA34" s="11">
        <v>0</v>
      </c>
      <c r="AB34" s="11">
        <v>0</v>
      </c>
      <c r="AC34" s="12">
        <v>44717</v>
      </c>
      <c r="AD34" s="12">
        <v>0</v>
      </c>
      <c r="AE34" s="12">
        <v>0</v>
      </c>
      <c r="AF34" s="46"/>
    </row>
    <row r="35" spans="1:32" ht="22.5" customHeight="1" x14ac:dyDescent="0.25">
      <c r="A35" s="8">
        <v>34</v>
      </c>
      <c r="B35" s="9">
        <v>45999</v>
      </c>
      <c r="C35" s="10">
        <v>0.79166666666666663</v>
      </c>
      <c r="D35" s="11" t="s">
        <v>61</v>
      </c>
      <c r="E35" s="11" t="s">
        <v>73</v>
      </c>
      <c r="F35" s="11" t="s">
        <v>62</v>
      </c>
      <c r="G35" s="11" t="s">
        <v>136</v>
      </c>
      <c r="H35" s="11" t="s">
        <v>49</v>
      </c>
      <c r="I35" s="11" t="s">
        <v>50</v>
      </c>
      <c r="J35" s="11" t="s">
        <v>31</v>
      </c>
      <c r="K35" s="11" t="s">
        <v>193</v>
      </c>
      <c r="L35" s="11">
        <v>21</v>
      </c>
      <c r="M35" s="11" t="s">
        <v>209</v>
      </c>
      <c r="N35" s="11"/>
      <c r="O35" s="11"/>
      <c r="P35" s="11"/>
      <c r="Q35" s="46" t="s">
        <v>210</v>
      </c>
      <c r="R35" s="44" t="s">
        <v>211</v>
      </c>
      <c r="S35" s="11" t="s">
        <v>101</v>
      </c>
      <c r="T35" s="11" t="s">
        <v>40</v>
      </c>
      <c r="U35" s="11" t="s">
        <v>212</v>
      </c>
      <c r="V35" s="11" t="s">
        <v>80</v>
      </c>
      <c r="W35" s="11" t="s">
        <v>80</v>
      </c>
      <c r="X35" s="46"/>
      <c r="Y35" s="11" t="s">
        <v>213</v>
      </c>
      <c r="Z35" s="11" t="s">
        <v>123</v>
      </c>
      <c r="AA35" s="11">
        <v>0</v>
      </c>
      <c r="AB35" s="11">
        <v>0</v>
      </c>
      <c r="AC35" s="12">
        <v>44717</v>
      </c>
      <c r="AD35" s="12">
        <v>0</v>
      </c>
      <c r="AE35" s="12">
        <v>0</v>
      </c>
      <c r="AF35" s="46"/>
    </row>
    <row r="36" spans="1:32" ht="22.5" customHeight="1" x14ac:dyDescent="0.25">
      <c r="A36" s="8">
        <v>35</v>
      </c>
      <c r="B36" s="14">
        <v>45999</v>
      </c>
      <c r="C36" s="15">
        <v>0.94444444444444442</v>
      </c>
      <c r="D36" s="16" t="s">
        <v>99</v>
      </c>
      <c r="E36" s="17" t="s">
        <v>45</v>
      </c>
      <c r="F36" s="16" t="s">
        <v>100</v>
      </c>
      <c r="G36" s="16" t="s">
        <v>169</v>
      </c>
      <c r="H36" s="16" t="s">
        <v>29</v>
      </c>
      <c r="I36" s="16" t="s">
        <v>102</v>
      </c>
      <c r="J36" s="16" t="s">
        <v>214</v>
      </c>
      <c r="K36" s="16" t="s">
        <v>214</v>
      </c>
      <c r="L36" s="16">
        <v>23</v>
      </c>
      <c r="M36" s="16" t="s">
        <v>215</v>
      </c>
      <c r="N36" s="16"/>
      <c r="O36" s="16"/>
      <c r="P36" s="16"/>
      <c r="Q36" s="47" t="s">
        <v>216</v>
      </c>
      <c r="R36" s="44"/>
      <c r="S36" s="16" t="s">
        <v>179</v>
      </c>
      <c r="T36" s="16" t="s">
        <v>40</v>
      </c>
      <c r="U36" s="16" t="s">
        <v>176</v>
      </c>
      <c r="V36" s="17" t="s">
        <v>40</v>
      </c>
      <c r="W36" s="17" t="s">
        <v>40</v>
      </c>
      <c r="X36" s="47"/>
      <c r="Y36" s="16" t="s">
        <v>107</v>
      </c>
      <c r="Z36" s="16" t="s">
        <v>123</v>
      </c>
      <c r="AA36" s="18">
        <v>0</v>
      </c>
      <c r="AB36" s="17">
        <v>0</v>
      </c>
      <c r="AC36" s="19">
        <v>120546.59</v>
      </c>
      <c r="AD36" s="12">
        <f>AA36/24*AC36</f>
        <v>0</v>
      </c>
      <c r="AE36" s="12">
        <f>AB36/24*AC36</f>
        <v>0</v>
      </c>
      <c r="AF36" s="47"/>
    </row>
    <row r="37" spans="1:32" ht="22.5" customHeight="1" x14ac:dyDescent="0.25">
      <c r="A37" s="8">
        <v>36</v>
      </c>
      <c r="B37" s="20">
        <v>46000</v>
      </c>
      <c r="C37" s="21">
        <v>0.3125</v>
      </c>
      <c r="D37" s="17" t="s">
        <v>199</v>
      </c>
      <c r="E37" s="17" t="s">
        <v>45</v>
      </c>
      <c r="F37" s="17" t="s">
        <v>200</v>
      </c>
      <c r="G37" s="17" t="s">
        <v>101</v>
      </c>
      <c r="H37" s="17" t="s">
        <v>29</v>
      </c>
      <c r="I37" s="17" t="s">
        <v>201</v>
      </c>
      <c r="J37" s="17" t="s">
        <v>214</v>
      </c>
      <c r="K37" s="17" t="s">
        <v>214</v>
      </c>
      <c r="L37" s="17">
        <v>24</v>
      </c>
      <c r="M37" s="17" t="s">
        <v>217</v>
      </c>
      <c r="N37" s="17"/>
      <c r="O37" s="17"/>
      <c r="P37" s="17"/>
      <c r="Q37" s="48" t="s">
        <v>218</v>
      </c>
      <c r="R37" s="44" t="s">
        <v>219</v>
      </c>
      <c r="S37" s="17" t="s">
        <v>205</v>
      </c>
      <c r="T37" s="17" t="s">
        <v>40</v>
      </c>
      <c r="U37" s="17" t="s">
        <v>176</v>
      </c>
      <c r="V37" s="17" t="s">
        <v>40</v>
      </c>
      <c r="W37" s="17" t="s">
        <v>40</v>
      </c>
      <c r="X37" s="48" t="s">
        <v>42</v>
      </c>
      <c r="Y37" s="17" t="s">
        <v>206</v>
      </c>
      <c r="Z37" s="17" t="s">
        <v>72</v>
      </c>
      <c r="AA37" s="22">
        <v>0</v>
      </c>
      <c r="AB37" s="17">
        <v>0</v>
      </c>
      <c r="AC37" s="19">
        <v>169168.82</v>
      </c>
      <c r="AD37" s="12">
        <f>AA37/24*AC37</f>
        <v>0</v>
      </c>
      <c r="AE37" s="12">
        <f>AB37/24*AC37</f>
        <v>0</v>
      </c>
      <c r="AF37" s="48"/>
    </row>
    <row r="38" spans="1:32" ht="22.5" customHeight="1" x14ac:dyDescent="0.25">
      <c r="A38" s="8">
        <v>37</v>
      </c>
      <c r="B38" s="14">
        <v>46000</v>
      </c>
      <c r="C38" s="15">
        <v>0.35416666666666669</v>
      </c>
      <c r="D38" s="16" t="s">
        <v>46</v>
      </c>
      <c r="E38" s="17" t="s">
        <v>60</v>
      </c>
      <c r="F38" s="16" t="s">
        <v>47</v>
      </c>
      <c r="G38" s="16" t="s">
        <v>28</v>
      </c>
      <c r="H38" s="16" t="s">
        <v>49</v>
      </c>
      <c r="I38" s="16" t="s">
        <v>50</v>
      </c>
      <c r="J38" s="16" t="s">
        <v>214</v>
      </c>
      <c r="K38" s="16" t="s">
        <v>214</v>
      </c>
      <c r="L38" s="16">
        <v>25</v>
      </c>
      <c r="M38" s="16" t="s">
        <v>220</v>
      </c>
      <c r="N38" s="16"/>
      <c r="O38" s="16"/>
      <c r="P38" s="16"/>
      <c r="Q38" s="47" t="s">
        <v>221</v>
      </c>
      <c r="R38" s="44" t="s">
        <v>219</v>
      </c>
      <c r="S38" s="16" t="s">
        <v>222</v>
      </c>
      <c r="T38" s="16" t="s">
        <v>40</v>
      </c>
      <c r="U38" s="16" t="s">
        <v>176</v>
      </c>
      <c r="V38" s="17" t="s">
        <v>40</v>
      </c>
      <c r="W38" s="17" t="s">
        <v>40</v>
      </c>
      <c r="X38" s="47" t="s">
        <v>42</v>
      </c>
      <c r="Y38" s="16"/>
      <c r="Z38" s="16" t="s">
        <v>72</v>
      </c>
      <c r="AA38" s="18">
        <v>0</v>
      </c>
      <c r="AB38" s="17">
        <v>0</v>
      </c>
      <c r="AC38" s="19">
        <v>44717</v>
      </c>
      <c r="AD38" s="12">
        <f>AA38/24*AC38</f>
        <v>0</v>
      </c>
      <c r="AE38" s="12">
        <f>AB38/24*AC38</f>
        <v>0</v>
      </c>
      <c r="AF38" s="47"/>
    </row>
    <row r="39" spans="1:32" ht="22.5" customHeight="1" x14ac:dyDescent="0.25">
      <c r="A39" s="8">
        <v>38</v>
      </c>
      <c r="B39" s="9">
        <v>46001</v>
      </c>
      <c r="C39" s="10">
        <v>0.8125</v>
      </c>
      <c r="D39" s="11" t="s">
        <v>108</v>
      </c>
      <c r="E39" s="11" t="s">
        <v>60</v>
      </c>
      <c r="F39" s="11" t="s">
        <v>109</v>
      </c>
      <c r="G39" s="11" t="s">
        <v>163</v>
      </c>
      <c r="H39" s="11" t="s">
        <v>49</v>
      </c>
      <c r="I39" s="11" t="s">
        <v>50</v>
      </c>
      <c r="J39" s="11" t="s">
        <v>110</v>
      </c>
      <c r="K39" s="11" t="s">
        <v>65</v>
      </c>
      <c r="L39" s="11">
        <v>26</v>
      </c>
      <c r="M39" s="11" t="s">
        <v>170</v>
      </c>
      <c r="N39" s="11" t="s">
        <v>223</v>
      </c>
      <c r="O39" s="11"/>
      <c r="P39" s="11"/>
      <c r="Q39" s="46" t="s">
        <v>224</v>
      </c>
      <c r="R39" s="44" t="s">
        <v>225</v>
      </c>
      <c r="S39" s="11" t="s">
        <v>136</v>
      </c>
      <c r="T39" s="11" t="s">
        <v>40</v>
      </c>
      <c r="U39" s="11" t="s">
        <v>176</v>
      </c>
      <c r="V39" s="11" t="s">
        <v>80</v>
      </c>
      <c r="W39" s="11" t="s">
        <v>40</v>
      </c>
      <c r="X39" s="46" t="s">
        <v>42</v>
      </c>
      <c r="Y39" s="11" t="s">
        <v>86</v>
      </c>
      <c r="Z39" s="11" t="s">
        <v>59</v>
      </c>
      <c r="AA39" s="11">
        <v>0</v>
      </c>
      <c r="AB39" s="11">
        <v>22.25</v>
      </c>
      <c r="AC39" s="12">
        <v>44717</v>
      </c>
      <c r="AD39" s="12">
        <v>0</v>
      </c>
      <c r="AE39" s="12">
        <v>0</v>
      </c>
      <c r="AF39" s="46"/>
    </row>
    <row r="40" spans="1:32" ht="22.5" customHeight="1" x14ac:dyDescent="0.25">
      <c r="A40" s="8">
        <v>39</v>
      </c>
      <c r="B40" s="14">
        <v>46001</v>
      </c>
      <c r="C40" s="15">
        <v>0.35347222222222224</v>
      </c>
      <c r="D40" s="16" t="s">
        <v>26</v>
      </c>
      <c r="E40" s="17" t="s">
        <v>45</v>
      </c>
      <c r="F40" s="16" t="s">
        <v>27</v>
      </c>
      <c r="G40" s="16" t="s">
        <v>63</v>
      </c>
      <c r="H40" s="16" t="s">
        <v>29</v>
      </c>
      <c r="I40" s="16" t="s">
        <v>30</v>
      </c>
      <c r="J40" s="16" t="s">
        <v>214</v>
      </c>
      <c r="K40" s="16" t="s">
        <v>214</v>
      </c>
      <c r="L40" s="16">
        <v>23</v>
      </c>
      <c r="M40" s="16" t="s">
        <v>215</v>
      </c>
      <c r="N40" s="16"/>
      <c r="O40" s="16"/>
      <c r="P40" s="16"/>
      <c r="Q40" s="47" t="s">
        <v>216</v>
      </c>
      <c r="R40" s="44" t="s">
        <v>226</v>
      </c>
      <c r="S40" s="16" t="s">
        <v>63</v>
      </c>
      <c r="T40" s="16" t="s">
        <v>40</v>
      </c>
      <c r="U40" s="16" t="s">
        <v>176</v>
      </c>
      <c r="V40" s="17" t="s">
        <v>40</v>
      </c>
      <c r="W40" s="17" t="s">
        <v>40</v>
      </c>
      <c r="X40" s="47" t="s">
        <v>42</v>
      </c>
      <c r="Y40" s="16" t="s">
        <v>43</v>
      </c>
      <c r="Z40" s="16" t="s">
        <v>123</v>
      </c>
      <c r="AA40" s="18">
        <v>0</v>
      </c>
      <c r="AB40" s="17">
        <v>0</v>
      </c>
      <c r="AC40" s="19">
        <v>120546.59</v>
      </c>
      <c r="AD40" s="12">
        <f>AA40/24*AC40</f>
        <v>0</v>
      </c>
      <c r="AE40" s="12">
        <f>AB40/24*AC40</f>
        <v>0</v>
      </c>
      <c r="AF40" s="47"/>
    </row>
    <row r="41" spans="1:32" ht="22.5" customHeight="1" x14ac:dyDescent="0.25">
      <c r="A41" s="8">
        <v>40</v>
      </c>
      <c r="B41" s="20">
        <v>46002</v>
      </c>
      <c r="C41" s="21">
        <v>0.27083333333333331</v>
      </c>
      <c r="D41" s="17" t="s">
        <v>26</v>
      </c>
      <c r="E41" s="17" t="s">
        <v>45</v>
      </c>
      <c r="F41" s="17" t="s">
        <v>27</v>
      </c>
      <c r="G41" s="17" t="s">
        <v>63</v>
      </c>
      <c r="H41" s="17" t="s">
        <v>29</v>
      </c>
      <c r="I41" s="17" t="s">
        <v>30</v>
      </c>
      <c r="J41" s="17" t="s">
        <v>214</v>
      </c>
      <c r="K41" s="17" t="s">
        <v>214</v>
      </c>
      <c r="L41" s="17">
        <v>23</v>
      </c>
      <c r="M41" s="17" t="s">
        <v>215</v>
      </c>
      <c r="N41" s="17"/>
      <c r="O41" s="17"/>
      <c r="P41" s="17"/>
      <c r="Q41" s="48" t="s">
        <v>227</v>
      </c>
      <c r="R41" s="44" t="s">
        <v>226</v>
      </c>
      <c r="S41" s="17" t="s">
        <v>63</v>
      </c>
      <c r="T41" s="17" t="s">
        <v>40</v>
      </c>
      <c r="U41" s="17" t="s">
        <v>176</v>
      </c>
      <c r="V41" s="17" t="s">
        <v>40</v>
      </c>
      <c r="W41" s="17" t="s">
        <v>40</v>
      </c>
      <c r="X41" s="48" t="s">
        <v>42</v>
      </c>
      <c r="Y41" s="17" t="s">
        <v>43</v>
      </c>
      <c r="Z41" s="17" t="s">
        <v>123</v>
      </c>
      <c r="AA41" s="22">
        <v>0</v>
      </c>
      <c r="AB41" s="17">
        <v>0</v>
      </c>
      <c r="AC41" s="19">
        <v>120546.59</v>
      </c>
      <c r="AD41" s="12">
        <f>AA41/24*AC41</f>
        <v>0</v>
      </c>
      <c r="AE41" s="12">
        <f>AB41/24*AC41</f>
        <v>0</v>
      </c>
      <c r="AF41" s="48"/>
    </row>
    <row r="42" spans="1:32" ht="22.5" customHeight="1" x14ac:dyDescent="0.25">
      <c r="A42" s="8">
        <v>41</v>
      </c>
      <c r="B42" s="9">
        <v>46003</v>
      </c>
      <c r="C42" s="10">
        <v>0.8125</v>
      </c>
      <c r="D42" s="11" t="s">
        <v>108</v>
      </c>
      <c r="E42" s="11" t="s">
        <v>60</v>
      </c>
      <c r="F42" s="11" t="s">
        <v>109</v>
      </c>
      <c r="G42" s="11" t="s">
        <v>163</v>
      </c>
      <c r="H42" s="11" t="s">
        <v>49</v>
      </c>
      <c r="I42" s="11" t="s">
        <v>50</v>
      </c>
      <c r="J42" s="11" t="s">
        <v>110</v>
      </c>
      <c r="K42" s="11" t="s">
        <v>32</v>
      </c>
      <c r="L42" s="11">
        <v>21</v>
      </c>
      <c r="M42" s="11" t="s">
        <v>228</v>
      </c>
      <c r="N42" s="11" t="s">
        <v>165</v>
      </c>
      <c r="O42" s="11">
        <v>50</v>
      </c>
      <c r="P42" s="11">
        <v>0</v>
      </c>
      <c r="Q42" s="46" t="s">
        <v>229</v>
      </c>
      <c r="R42" s="44" t="s">
        <v>230</v>
      </c>
      <c r="S42" s="11" t="s">
        <v>136</v>
      </c>
      <c r="T42" s="11" t="s">
        <v>40</v>
      </c>
      <c r="U42" s="11" t="s">
        <v>176</v>
      </c>
      <c r="V42" s="11" t="s">
        <v>40</v>
      </c>
      <c r="W42" s="11" t="s">
        <v>40</v>
      </c>
      <c r="X42" s="46" t="s">
        <v>42</v>
      </c>
      <c r="Y42" s="11" t="s">
        <v>86</v>
      </c>
      <c r="Z42" s="11" t="s">
        <v>59</v>
      </c>
      <c r="AA42" s="11">
        <v>0</v>
      </c>
      <c r="AB42" s="11">
        <v>1.39</v>
      </c>
      <c r="AC42" s="12">
        <v>44717</v>
      </c>
      <c r="AD42" s="12">
        <v>0</v>
      </c>
      <c r="AE42" s="12">
        <v>0</v>
      </c>
      <c r="AF42" s="46"/>
    </row>
    <row r="43" spans="1:32" ht="22.5" customHeight="1" x14ac:dyDescent="0.25">
      <c r="A43" s="8">
        <v>42</v>
      </c>
      <c r="B43" s="9">
        <v>46003</v>
      </c>
      <c r="C43" s="10">
        <v>0.8125</v>
      </c>
      <c r="D43" s="11" t="s">
        <v>108</v>
      </c>
      <c r="E43" s="11" t="s">
        <v>60</v>
      </c>
      <c r="F43" s="11" t="s">
        <v>109</v>
      </c>
      <c r="G43" s="11" t="s">
        <v>163</v>
      </c>
      <c r="H43" s="11" t="s">
        <v>49</v>
      </c>
      <c r="I43" s="11" t="s">
        <v>50</v>
      </c>
      <c r="J43" s="11" t="s">
        <v>64</v>
      </c>
      <c r="K43" s="11" t="s">
        <v>32</v>
      </c>
      <c r="L43" s="11">
        <v>21</v>
      </c>
      <c r="M43" s="11" t="s">
        <v>170</v>
      </c>
      <c r="N43" s="11" t="s">
        <v>66</v>
      </c>
      <c r="O43" s="11">
        <v>0</v>
      </c>
      <c r="P43" s="11">
        <v>900</v>
      </c>
      <c r="Q43" s="46" t="s">
        <v>231</v>
      </c>
      <c r="R43" s="44" t="s">
        <v>232</v>
      </c>
      <c r="S43" s="11" t="s">
        <v>136</v>
      </c>
      <c r="T43" s="11" t="s">
        <v>40</v>
      </c>
      <c r="U43" s="11" t="s">
        <v>176</v>
      </c>
      <c r="V43" s="11" t="s">
        <v>40</v>
      </c>
      <c r="W43" s="11" t="s">
        <v>80</v>
      </c>
      <c r="X43" s="46" t="s">
        <v>233</v>
      </c>
      <c r="Y43" s="11" t="s">
        <v>234</v>
      </c>
      <c r="Z43" s="11" t="s">
        <v>123</v>
      </c>
      <c r="AA43" s="11">
        <v>0</v>
      </c>
      <c r="AB43" s="11">
        <v>0</v>
      </c>
      <c r="AC43" s="12">
        <v>44717</v>
      </c>
      <c r="AD43" s="12">
        <v>0</v>
      </c>
      <c r="AE43" s="12">
        <v>0</v>
      </c>
      <c r="AF43" s="46"/>
    </row>
    <row r="44" spans="1:32" ht="22.5" customHeight="1" x14ac:dyDescent="0.25">
      <c r="A44" s="8">
        <v>43</v>
      </c>
      <c r="B44" s="9">
        <v>46008</v>
      </c>
      <c r="C44" s="10">
        <v>0.25</v>
      </c>
      <c r="D44" s="11" t="s">
        <v>199</v>
      </c>
      <c r="E44" s="11" t="s">
        <v>45</v>
      </c>
      <c r="F44" s="11" t="s">
        <v>200</v>
      </c>
      <c r="G44" s="11" t="s">
        <v>235</v>
      </c>
      <c r="H44" s="11" t="s">
        <v>29</v>
      </c>
      <c r="I44" s="11" t="s">
        <v>201</v>
      </c>
      <c r="J44" s="11" t="s">
        <v>92</v>
      </c>
      <c r="K44" s="11" t="s">
        <v>65</v>
      </c>
      <c r="L44" s="11">
        <v>24</v>
      </c>
      <c r="M44" s="11" t="s">
        <v>236</v>
      </c>
      <c r="N44" s="11" t="s">
        <v>171</v>
      </c>
      <c r="O44" s="11">
        <v>20</v>
      </c>
      <c r="P44" s="11">
        <v>29.5</v>
      </c>
      <c r="Q44" s="46" t="s">
        <v>237</v>
      </c>
      <c r="R44" s="44" t="s">
        <v>238</v>
      </c>
      <c r="S44" s="11" t="s">
        <v>235</v>
      </c>
      <c r="T44" s="11" t="s">
        <v>80</v>
      </c>
      <c r="U44" s="11"/>
      <c r="V44" s="11" t="s">
        <v>80</v>
      </c>
      <c r="W44" s="11" t="s">
        <v>80</v>
      </c>
      <c r="X44" s="46"/>
      <c r="Y44" s="11" t="s">
        <v>119</v>
      </c>
      <c r="Z44" s="11" t="s">
        <v>59</v>
      </c>
      <c r="AA44" s="11">
        <v>0</v>
      </c>
      <c r="AB44" s="11">
        <v>8.36</v>
      </c>
      <c r="AC44" s="12">
        <v>169168.82</v>
      </c>
      <c r="AD44" s="12">
        <f>AA44/24*AC44</f>
        <v>0</v>
      </c>
      <c r="AE44" s="12">
        <v>0</v>
      </c>
      <c r="AF44" s="46"/>
    </row>
    <row r="45" spans="1:32" ht="22.5" customHeight="1" x14ac:dyDescent="0.25">
      <c r="A45" s="8">
        <v>44</v>
      </c>
      <c r="B45" s="9">
        <v>46009</v>
      </c>
      <c r="C45" s="10">
        <v>0.34722222222222221</v>
      </c>
      <c r="D45" s="11" t="s">
        <v>46</v>
      </c>
      <c r="E45" s="11" t="s">
        <v>60</v>
      </c>
      <c r="F45" s="11" t="s">
        <v>47</v>
      </c>
      <c r="G45" s="11" t="s">
        <v>63</v>
      </c>
      <c r="H45" s="11" t="s">
        <v>49</v>
      </c>
      <c r="I45" s="11" t="s">
        <v>50</v>
      </c>
      <c r="J45" s="11" t="s">
        <v>110</v>
      </c>
      <c r="K45" s="11" t="s">
        <v>32</v>
      </c>
      <c r="L45" s="11">
        <v>25</v>
      </c>
      <c r="M45" s="11" t="s">
        <v>239</v>
      </c>
      <c r="N45" s="11" t="s">
        <v>34</v>
      </c>
      <c r="O45" s="11">
        <v>15</v>
      </c>
      <c r="P45" s="11">
        <v>17</v>
      </c>
      <c r="Q45" s="46" t="s">
        <v>240</v>
      </c>
      <c r="R45" s="44" t="s">
        <v>191</v>
      </c>
      <c r="S45" s="11" t="s">
        <v>63</v>
      </c>
      <c r="T45" s="11" t="s">
        <v>40</v>
      </c>
      <c r="U45" s="11" t="s">
        <v>241</v>
      </c>
      <c r="V45" s="11" t="s">
        <v>40</v>
      </c>
      <c r="W45" s="11" t="s">
        <v>40</v>
      </c>
      <c r="X45" s="46" t="s">
        <v>242</v>
      </c>
      <c r="Y45" s="11" t="s">
        <v>243</v>
      </c>
      <c r="Z45" s="11" t="s">
        <v>123</v>
      </c>
      <c r="AA45" s="11">
        <v>0</v>
      </c>
      <c r="AB45" s="11">
        <v>4.5</v>
      </c>
      <c r="AC45" s="12">
        <v>44717</v>
      </c>
      <c r="AD45" s="12">
        <v>0</v>
      </c>
      <c r="AE45" s="12">
        <v>0</v>
      </c>
      <c r="AF45" s="46"/>
    </row>
    <row r="46" spans="1:32" ht="22.5" customHeight="1" x14ac:dyDescent="0.25">
      <c r="A46" s="8">
        <v>45</v>
      </c>
      <c r="B46" s="9">
        <v>46009</v>
      </c>
      <c r="C46" s="10">
        <v>0.90763888888888888</v>
      </c>
      <c r="D46" s="11" t="s">
        <v>199</v>
      </c>
      <c r="E46" s="11" t="s">
        <v>45</v>
      </c>
      <c r="F46" s="11" t="s">
        <v>200</v>
      </c>
      <c r="G46" s="11" t="s">
        <v>179</v>
      </c>
      <c r="H46" s="11" t="s">
        <v>29</v>
      </c>
      <c r="I46" s="11" t="s">
        <v>201</v>
      </c>
      <c r="J46" s="11" t="s">
        <v>92</v>
      </c>
      <c r="K46" s="11" t="s">
        <v>65</v>
      </c>
      <c r="L46" s="11">
        <v>25</v>
      </c>
      <c r="M46" s="11" t="s">
        <v>244</v>
      </c>
      <c r="N46" s="11" t="s">
        <v>75</v>
      </c>
      <c r="O46" s="11">
        <v>60</v>
      </c>
      <c r="P46" s="11">
        <v>25</v>
      </c>
      <c r="Q46" s="46" t="s">
        <v>245</v>
      </c>
      <c r="R46" s="44"/>
      <c r="S46" s="11" t="s">
        <v>179</v>
      </c>
      <c r="T46" s="11" t="s">
        <v>80</v>
      </c>
      <c r="U46" s="11" t="s">
        <v>246</v>
      </c>
      <c r="V46" s="11" t="s">
        <v>80</v>
      </c>
      <c r="W46" s="11" t="s">
        <v>40</v>
      </c>
      <c r="X46" s="46" t="s">
        <v>247</v>
      </c>
      <c r="Y46" s="11" t="s">
        <v>248</v>
      </c>
      <c r="Z46" s="11" t="s">
        <v>59</v>
      </c>
      <c r="AA46" s="11">
        <v>0</v>
      </c>
      <c r="AB46" s="11">
        <v>0</v>
      </c>
      <c r="AC46" s="12">
        <v>169168.82</v>
      </c>
      <c r="AD46" s="12">
        <f>AA46/24*AC46</f>
        <v>0</v>
      </c>
      <c r="AE46" s="12">
        <f>AB46/24*AC46</f>
        <v>0</v>
      </c>
      <c r="AF46" s="46"/>
    </row>
    <row r="47" spans="1:32" ht="22.5" customHeight="1" x14ac:dyDescent="0.25">
      <c r="A47" s="8">
        <v>46</v>
      </c>
      <c r="B47" s="9">
        <v>46010</v>
      </c>
      <c r="C47" s="10">
        <v>9.0277777777777776E-2</v>
      </c>
      <c r="D47" s="11" t="s">
        <v>199</v>
      </c>
      <c r="E47" s="11" t="s">
        <v>45</v>
      </c>
      <c r="F47" s="11" t="s">
        <v>200</v>
      </c>
      <c r="G47" s="11" t="s">
        <v>179</v>
      </c>
      <c r="H47" s="11" t="s">
        <v>29</v>
      </c>
      <c r="I47" s="11" t="s">
        <v>201</v>
      </c>
      <c r="J47" s="11" t="s">
        <v>31</v>
      </c>
      <c r="K47" s="11" t="s">
        <v>65</v>
      </c>
      <c r="L47" s="11">
        <v>25</v>
      </c>
      <c r="M47" s="11" t="s">
        <v>249</v>
      </c>
      <c r="N47" s="11" t="s">
        <v>223</v>
      </c>
      <c r="O47" s="11">
        <v>4000</v>
      </c>
      <c r="P47" s="11">
        <v>3700</v>
      </c>
      <c r="Q47" s="46" t="s">
        <v>250</v>
      </c>
      <c r="R47" s="44" t="s">
        <v>251</v>
      </c>
      <c r="S47" s="11" t="s">
        <v>179</v>
      </c>
      <c r="T47" s="11" t="s">
        <v>40</v>
      </c>
      <c r="U47" s="11" t="s">
        <v>252</v>
      </c>
      <c r="V47" s="11" t="s">
        <v>40</v>
      </c>
      <c r="W47" s="11" t="s">
        <v>40</v>
      </c>
      <c r="X47" s="46" t="s">
        <v>253</v>
      </c>
      <c r="Y47" s="11" t="s">
        <v>254</v>
      </c>
      <c r="Z47" s="11" t="s">
        <v>59</v>
      </c>
      <c r="AA47" s="11">
        <v>0</v>
      </c>
      <c r="AB47" s="11">
        <v>12</v>
      </c>
      <c r="AC47" s="12">
        <v>169168.82</v>
      </c>
      <c r="AD47" s="12">
        <v>0</v>
      </c>
      <c r="AE47" s="12">
        <v>0</v>
      </c>
      <c r="AF47" s="46"/>
    </row>
    <row r="48" spans="1:32" ht="22.5" customHeight="1" x14ac:dyDescent="0.25">
      <c r="A48" s="8">
        <v>47</v>
      </c>
      <c r="B48" s="9">
        <v>46012</v>
      </c>
      <c r="C48" s="10">
        <v>0.47222222222222221</v>
      </c>
      <c r="D48" s="11" t="s">
        <v>46</v>
      </c>
      <c r="E48" s="11" t="s">
        <v>60</v>
      </c>
      <c r="F48" s="11" t="s">
        <v>47</v>
      </c>
      <c r="G48" s="11" t="s">
        <v>63</v>
      </c>
      <c r="H48" s="11" t="s">
        <v>49</v>
      </c>
      <c r="I48" s="11" t="s">
        <v>50</v>
      </c>
      <c r="J48" s="11" t="s">
        <v>110</v>
      </c>
      <c r="K48" s="11" t="s">
        <v>32</v>
      </c>
      <c r="L48" s="11">
        <v>25</v>
      </c>
      <c r="M48" s="11" t="s">
        <v>255</v>
      </c>
      <c r="N48" s="11" t="s">
        <v>66</v>
      </c>
      <c r="O48" s="11" t="s">
        <v>256</v>
      </c>
      <c r="P48" s="13">
        <v>0.8</v>
      </c>
      <c r="Q48" s="46" t="s">
        <v>257</v>
      </c>
      <c r="R48" s="44" t="s">
        <v>258</v>
      </c>
      <c r="S48" s="11" t="s">
        <v>63</v>
      </c>
      <c r="T48" s="11" t="s">
        <v>40</v>
      </c>
      <c r="U48" s="11" t="s">
        <v>259</v>
      </c>
      <c r="V48" s="11" t="s">
        <v>80</v>
      </c>
      <c r="W48" s="11" t="s">
        <v>80</v>
      </c>
      <c r="X48" s="46"/>
      <c r="Y48" s="11" t="s">
        <v>126</v>
      </c>
      <c r="Z48" s="11" t="s">
        <v>123</v>
      </c>
      <c r="AA48" s="11">
        <v>0</v>
      </c>
      <c r="AB48" s="11">
        <v>6.86</v>
      </c>
      <c r="AC48" s="12">
        <v>44717</v>
      </c>
      <c r="AD48" s="12">
        <v>0</v>
      </c>
      <c r="AE48" s="12">
        <v>0</v>
      </c>
      <c r="AF48" s="46"/>
    </row>
    <row r="49" spans="1:32" ht="22.5" customHeight="1" x14ac:dyDescent="0.25">
      <c r="A49" s="8">
        <v>48</v>
      </c>
      <c r="B49" s="9">
        <v>46016</v>
      </c>
      <c r="C49" s="10">
        <v>0.39583333333333331</v>
      </c>
      <c r="D49" s="11" t="s">
        <v>46</v>
      </c>
      <c r="E49" s="11" t="s">
        <v>60</v>
      </c>
      <c r="F49" s="11" t="s">
        <v>47</v>
      </c>
      <c r="G49" s="11" t="s">
        <v>163</v>
      </c>
      <c r="H49" s="11" t="s">
        <v>49</v>
      </c>
      <c r="I49" s="11" t="s">
        <v>50</v>
      </c>
      <c r="J49" s="11" t="s">
        <v>64</v>
      </c>
      <c r="K49" s="11" t="s">
        <v>32</v>
      </c>
      <c r="L49" s="11">
        <v>21</v>
      </c>
      <c r="M49" s="11" t="s">
        <v>170</v>
      </c>
      <c r="N49" s="11" t="s">
        <v>66</v>
      </c>
      <c r="O49" s="11">
        <v>0</v>
      </c>
      <c r="P49" s="11">
        <v>1500</v>
      </c>
      <c r="Q49" s="46" t="s">
        <v>260</v>
      </c>
      <c r="R49" s="44" t="s">
        <v>232</v>
      </c>
      <c r="S49" s="11" t="s">
        <v>136</v>
      </c>
      <c r="T49" s="11" t="s">
        <v>40</v>
      </c>
      <c r="U49" s="11" t="s">
        <v>261</v>
      </c>
      <c r="V49" s="11" t="s">
        <v>80</v>
      </c>
      <c r="W49" s="11" t="s">
        <v>80</v>
      </c>
      <c r="X49" s="46" t="s">
        <v>262</v>
      </c>
      <c r="Y49" s="11" t="s">
        <v>263</v>
      </c>
      <c r="Z49" s="11" t="s">
        <v>123</v>
      </c>
      <c r="AA49" s="11">
        <v>0</v>
      </c>
      <c r="AB49" s="11">
        <v>0</v>
      </c>
      <c r="AC49" s="12">
        <v>44717</v>
      </c>
      <c r="AD49" s="12">
        <v>0</v>
      </c>
      <c r="AE49" s="12">
        <v>0</v>
      </c>
      <c r="AF49" s="46"/>
    </row>
    <row r="50" spans="1:32" ht="22.5" customHeight="1" x14ac:dyDescent="0.25">
      <c r="A50" s="8">
        <v>49</v>
      </c>
      <c r="B50" s="9">
        <v>46017</v>
      </c>
      <c r="C50" s="10">
        <v>0.45833333333333331</v>
      </c>
      <c r="D50" s="11" t="s">
        <v>46</v>
      </c>
      <c r="E50" s="11" t="s">
        <v>60</v>
      </c>
      <c r="F50" s="11" t="s">
        <v>47</v>
      </c>
      <c r="G50" s="11" t="s">
        <v>163</v>
      </c>
      <c r="H50" s="11" t="s">
        <v>49</v>
      </c>
      <c r="I50" s="11" t="s">
        <v>50</v>
      </c>
      <c r="J50" s="11" t="s">
        <v>110</v>
      </c>
      <c r="K50" s="11" t="s">
        <v>32</v>
      </c>
      <c r="L50" s="11">
        <v>21</v>
      </c>
      <c r="M50" s="11" t="s">
        <v>264</v>
      </c>
      <c r="N50" s="11" t="s">
        <v>66</v>
      </c>
      <c r="O50" s="11">
        <v>0</v>
      </c>
      <c r="P50" s="11">
        <v>0.7</v>
      </c>
      <c r="Q50" s="46" t="s">
        <v>265</v>
      </c>
      <c r="R50" s="44" t="s">
        <v>266</v>
      </c>
      <c r="S50" s="11" t="s">
        <v>136</v>
      </c>
      <c r="T50" s="11" t="s">
        <v>40</v>
      </c>
      <c r="U50" s="11" t="s">
        <v>267</v>
      </c>
      <c r="V50" s="11" t="s">
        <v>40</v>
      </c>
      <c r="W50" s="11" t="s">
        <v>80</v>
      </c>
      <c r="X50" s="46" t="s">
        <v>268</v>
      </c>
      <c r="Y50" s="11" t="s">
        <v>269</v>
      </c>
      <c r="Z50" s="11" t="s">
        <v>123</v>
      </c>
      <c r="AA50" s="11">
        <v>0</v>
      </c>
      <c r="AB50" s="11">
        <v>1.39</v>
      </c>
      <c r="AC50" s="12">
        <v>44717</v>
      </c>
      <c r="AD50" s="12">
        <v>0</v>
      </c>
      <c r="AE50" s="12">
        <v>0</v>
      </c>
      <c r="AF50" s="46"/>
    </row>
    <row r="51" spans="1:32" ht="22.5" customHeight="1" x14ac:dyDescent="0.25">
      <c r="A51" s="8">
        <v>50</v>
      </c>
      <c r="B51" s="9">
        <v>46019</v>
      </c>
      <c r="C51" s="10">
        <v>0.9506944444444444</v>
      </c>
      <c r="D51" s="11" t="s">
        <v>46</v>
      </c>
      <c r="E51" s="11" t="s">
        <v>60</v>
      </c>
      <c r="F51" s="11" t="s">
        <v>47</v>
      </c>
      <c r="G51" s="11" t="s">
        <v>163</v>
      </c>
      <c r="H51" s="11" t="s">
        <v>49</v>
      </c>
      <c r="I51" s="11" t="s">
        <v>50</v>
      </c>
      <c r="J51" s="11" t="s">
        <v>110</v>
      </c>
      <c r="K51" s="11" t="s">
        <v>65</v>
      </c>
      <c r="L51" s="11">
        <v>21</v>
      </c>
      <c r="M51" s="11" t="s">
        <v>215</v>
      </c>
      <c r="N51" s="11" t="s">
        <v>34</v>
      </c>
      <c r="O51" s="11">
        <v>15</v>
      </c>
      <c r="P51" s="11">
        <v>40</v>
      </c>
      <c r="Q51" s="46" t="s">
        <v>270</v>
      </c>
      <c r="R51" s="44" t="s">
        <v>271</v>
      </c>
      <c r="S51" s="11" t="s">
        <v>136</v>
      </c>
      <c r="T51" s="11" t="s">
        <v>40</v>
      </c>
      <c r="U51" s="11" t="s">
        <v>272</v>
      </c>
      <c r="V51" s="11" t="s">
        <v>40</v>
      </c>
      <c r="W51" s="11" t="s">
        <v>40</v>
      </c>
      <c r="X51" s="46"/>
      <c r="Y51" s="11" t="s">
        <v>273</v>
      </c>
      <c r="Z51" s="11" t="s">
        <v>59</v>
      </c>
      <c r="AA51" s="11">
        <v>0</v>
      </c>
      <c r="AB51" s="11">
        <v>1.39</v>
      </c>
      <c r="AC51" s="12">
        <v>44717</v>
      </c>
      <c r="AD51" s="12">
        <v>0</v>
      </c>
      <c r="AE51" s="12">
        <v>0</v>
      </c>
      <c r="AF51" s="46"/>
    </row>
    <row r="52" spans="1:32" ht="22.5" customHeight="1" x14ac:dyDescent="0.25">
      <c r="A52" s="8">
        <v>51</v>
      </c>
      <c r="B52" s="9">
        <v>46020</v>
      </c>
      <c r="C52" s="10">
        <v>0.83333333333333337</v>
      </c>
      <c r="D52" s="11" t="s">
        <v>46</v>
      </c>
      <c r="E52" s="11" t="s">
        <v>60</v>
      </c>
      <c r="F52" s="11" t="s">
        <v>47</v>
      </c>
      <c r="G52" s="11" t="s">
        <v>163</v>
      </c>
      <c r="H52" s="11" t="s">
        <v>49</v>
      </c>
      <c r="I52" s="11" t="s">
        <v>50</v>
      </c>
      <c r="J52" s="11" t="s">
        <v>110</v>
      </c>
      <c r="K52" s="11" t="s">
        <v>65</v>
      </c>
      <c r="L52" s="11">
        <v>21</v>
      </c>
      <c r="M52" s="11" t="s">
        <v>274</v>
      </c>
      <c r="N52" s="11" t="s">
        <v>34</v>
      </c>
      <c r="O52" s="11">
        <v>15</v>
      </c>
      <c r="P52" s="11">
        <v>30</v>
      </c>
      <c r="Q52" s="46" t="s">
        <v>275</v>
      </c>
      <c r="R52" s="44" t="s">
        <v>276</v>
      </c>
      <c r="S52" s="11" t="s">
        <v>136</v>
      </c>
      <c r="T52" s="11" t="s">
        <v>40</v>
      </c>
      <c r="U52" s="23" t="s">
        <v>277</v>
      </c>
      <c r="V52" s="11" t="s">
        <v>40</v>
      </c>
      <c r="W52" s="11" t="s">
        <v>40</v>
      </c>
      <c r="X52" s="46" t="s">
        <v>278</v>
      </c>
      <c r="Y52" s="11" t="s">
        <v>279</v>
      </c>
      <c r="Z52" s="11" t="s">
        <v>59</v>
      </c>
      <c r="AA52" s="11">
        <v>0</v>
      </c>
      <c r="AB52" s="11">
        <v>1.39</v>
      </c>
      <c r="AC52" s="12">
        <v>44717</v>
      </c>
      <c r="AD52" s="12">
        <v>0</v>
      </c>
      <c r="AE52" s="12">
        <v>0</v>
      </c>
      <c r="AF52" s="58"/>
    </row>
    <row r="53" spans="1:32" ht="22.5" customHeight="1" x14ac:dyDescent="0.25">
      <c r="A53" s="8">
        <v>52</v>
      </c>
      <c r="B53" s="9">
        <v>46021</v>
      </c>
      <c r="C53" s="10">
        <v>0.99513888888888891</v>
      </c>
      <c r="D53" s="11" t="s">
        <v>280</v>
      </c>
      <c r="E53" s="11" t="s">
        <v>281</v>
      </c>
      <c r="F53" s="11" t="s">
        <v>281</v>
      </c>
      <c r="G53" s="11" t="s">
        <v>235</v>
      </c>
      <c r="H53" s="11"/>
      <c r="I53" s="11"/>
      <c r="J53" s="11" t="s">
        <v>64</v>
      </c>
      <c r="K53" s="11" t="s">
        <v>65</v>
      </c>
      <c r="L53" s="11">
        <v>21</v>
      </c>
      <c r="M53" s="11" t="s">
        <v>282</v>
      </c>
      <c r="N53" s="11" t="s">
        <v>283</v>
      </c>
      <c r="O53" s="11">
        <v>0</v>
      </c>
      <c r="P53" s="11">
        <v>1.5</v>
      </c>
      <c r="Q53" s="46" t="s">
        <v>284</v>
      </c>
      <c r="R53" s="44"/>
      <c r="S53" s="11" t="s">
        <v>179</v>
      </c>
      <c r="T53" s="11" t="s">
        <v>40</v>
      </c>
      <c r="U53" s="11" t="s">
        <v>285</v>
      </c>
      <c r="V53" s="11" t="s">
        <v>40</v>
      </c>
      <c r="W53" s="11" t="s">
        <v>40</v>
      </c>
      <c r="X53" s="46" t="s">
        <v>286</v>
      </c>
      <c r="Y53" s="11" t="s">
        <v>273</v>
      </c>
      <c r="Z53" s="11" t="s">
        <v>59</v>
      </c>
      <c r="AA53" s="11">
        <v>0</v>
      </c>
      <c r="AB53" s="11">
        <v>0</v>
      </c>
      <c r="AC53" s="12">
        <v>44717</v>
      </c>
      <c r="AD53" s="12">
        <v>0</v>
      </c>
      <c r="AE53" s="12">
        <v>0</v>
      </c>
      <c r="AF53" s="46"/>
    </row>
    <row r="54" spans="1:32" ht="22.5" customHeight="1" x14ac:dyDescent="0.25">
      <c r="A54" s="8">
        <v>53</v>
      </c>
      <c r="B54" s="9">
        <v>46021</v>
      </c>
      <c r="C54" s="10">
        <v>0.28819444444444442</v>
      </c>
      <c r="D54" s="11" t="s">
        <v>287</v>
      </c>
      <c r="E54" s="11" t="s">
        <v>295</v>
      </c>
      <c r="F54" s="11" t="s">
        <v>288</v>
      </c>
      <c r="G54" s="11" t="s">
        <v>289</v>
      </c>
      <c r="H54" s="11" t="s">
        <v>29</v>
      </c>
      <c r="I54" s="11" t="s">
        <v>201</v>
      </c>
      <c r="J54" s="11" t="s">
        <v>110</v>
      </c>
      <c r="K54" s="11" t="s">
        <v>32</v>
      </c>
      <c r="L54" s="11">
        <v>21</v>
      </c>
      <c r="M54" s="11" t="s">
        <v>282</v>
      </c>
      <c r="N54" s="11" t="s">
        <v>66</v>
      </c>
      <c r="O54" s="11">
        <v>0</v>
      </c>
      <c r="P54" s="11">
        <v>0.8</v>
      </c>
      <c r="Q54" s="46" t="s">
        <v>290</v>
      </c>
      <c r="R54" s="44" t="s">
        <v>291</v>
      </c>
      <c r="S54" s="11" t="s">
        <v>289</v>
      </c>
      <c r="T54" s="11" t="s">
        <v>40</v>
      </c>
      <c r="U54" s="11" t="s">
        <v>292</v>
      </c>
      <c r="V54" s="11" t="s">
        <v>40</v>
      </c>
      <c r="W54" s="11" t="s">
        <v>40</v>
      </c>
      <c r="X54" s="46" t="s">
        <v>293</v>
      </c>
      <c r="Y54" s="11" t="s">
        <v>294</v>
      </c>
      <c r="Z54" s="11" t="s">
        <v>123</v>
      </c>
      <c r="AA54" s="11">
        <v>0</v>
      </c>
      <c r="AB54" s="11">
        <v>1.39</v>
      </c>
      <c r="AC54" s="12">
        <v>120546.59</v>
      </c>
      <c r="AD54" s="12">
        <v>0</v>
      </c>
      <c r="AE54" s="12">
        <v>0</v>
      </c>
      <c r="AF54" s="46"/>
    </row>
    <row r="55" spans="1:32" ht="22.5" customHeight="1" x14ac:dyDescent="0.25">
      <c r="A55" s="8">
        <v>54</v>
      </c>
      <c r="B55" s="9">
        <v>46021</v>
      </c>
      <c r="C55" s="10">
        <v>0.32361111111111113</v>
      </c>
      <c r="D55" s="11" t="s">
        <v>46</v>
      </c>
      <c r="E55" s="11" t="s">
        <v>60</v>
      </c>
      <c r="F55" s="11" t="s">
        <v>47</v>
      </c>
      <c r="G55" s="11" t="s">
        <v>163</v>
      </c>
      <c r="H55" s="11" t="s">
        <v>49</v>
      </c>
      <c r="I55" s="11" t="s">
        <v>50</v>
      </c>
      <c r="J55" s="11" t="s">
        <v>110</v>
      </c>
      <c r="K55" s="11" t="s">
        <v>193</v>
      </c>
      <c r="L55" s="11">
        <v>21</v>
      </c>
      <c r="M55" s="11" t="s">
        <v>296</v>
      </c>
      <c r="N55" s="11" t="s">
        <v>34</v>
      </c>
      <c r="O55" s="11" t="s">
        <v>297</v>
      </c>
      <c r="P55" s="11" t="s">
        <v>298</v>
      </c>
      <c r="Q55" s="46" t="s">
        <v>299</v>
      </c>
      <c r="R55" s="44" t="s">
        <v>300</v>
      </c>
      <c r="S55" s="11" t="s">
        <v>301</v>
      </c>
      <c r="T55" s="11" t="s">
        <v>40</v>
      </c>
      <c r="U55" s="11" t="s">
        <v>302</v>
      </c>
      <c r="V55" s="11" t="s">
        <v>80</v>
      </c>
      <c r="W55" s="11" t="s">
        <v>80</v>
      </c>
      <c r="X55" s="46"/>
      <c r="Y55" s="11" t="s">
        <v>135</v>
      </c>
      <c r="Z55" s="11" t="s">
        <v>123</v>
      </c>
      <c r="AA55" s="11">
        <v>0</v>
      </c>
      <c r="AB55" s="11">
        <v>0</v>
      </c>
      <c r="AC55" s="12">
        <v>44717</v>
      </c>
      <c r="AD55" s="12">
        <v>0</v>
      </c>
      <c r="AE55" s="12">
        <v>0</v>
      </c>
      <c r="AF55" s="46"/>
    </row>
    <row r="56" spans="1:32" ht="22.5" customHeight="1" x14ac:dyDescent="0.25">
      <c r="A56" s="8">
        <v>55</v>
      </c>
      <c r="B56" s="9">
        <v>46022</v>
      </c>
      <c r="C56" s="10">
        <v>4.1666666666666664E-2</v>
      </c>
      <c r="D56" s="11" t="s">
        <v>280</v>
      </c>
      <c r="E56" s="11" t="s">
        <v>281</v>
      </c>
      <c r="F56" s="11" t="s">
        <v>281</v>
      </c>
      <c r="G56" s="11" t="s">
        <v>235</v>
      </c>
      <c r="H56" s="11" t="s">
        <v>303</v>
      </c>
      <c r="I56" s="11" t="s">
        <v>304</v>
      </c>
      <c r="J56" s="11" t="s">
        <v>110</v>
      </c>
      <c r="K56" s="11" t="s">
        <v>65</v>
      </c>
      <c r="L56" s="11">
        <v>27</v>
      </c>
      <c r="M56" s="11" t="s">
        <v>305</v>
      </c>
      <c r="N56" s="11" t="s">
        <v>34</v>
      </c>
      <c r="O56" s="11">
        <v>195</v>
      </c>
      <c r="P56" s="11">
        <v>205</v>
      </c>
      <c r="Q56" s="46" t="s">
        <v>306</v>
      </c>
      <c r="R56" s="44" t="s">
        <v>307</v>
      </c>
      <c r="S56" s="11" t="s">
        <v>179</v>
      </c>
      <c r="T56" s="11" t="s">
        <v>40</v>
      </c>
      <c r="U56" s="11" t="s">
        <v>308</v>
      </c>
      <c r="V56" s="11" t="s">
        <v>40</v>
      </c>
      <c r="W56" s="11" t="s">
        <v>40</v>
      </c>
      <c r="X56" s="46" t="s">
        <v>42</v>
      </c>
      <c r="Y56" s="11" t="s">
        <v>309</v>
      </c>
      <c r="Z56" s="11" t="s">
        <v>72</v>
      </c>
      <c r="AA56" s="11">
        <v>0</v>
      </c>
      <c r="AB56" s="11">
        <v>249.5</v>
      </c>
      <c r="AC56" s="12">
        <v>34001.440000000002</v>
      </c>
      <c r="AD56" s="12">
        <v>0</v>
      </c>
      <c r="AE56" s="12">
        <v>0</v>
      </c>
      <c r="AF56" s="46"/>
    </row>
    <row r="57" spans="1:32" ht="22.5" customHeight="1" x14ac:dyDescent="0.25">
      <c r="A57" s="8">
        <v>56</v>
      </c>
      <c r="B57" s="9">
        <v>46022</v>
      </c>
      <c r="C57" s="10">
        <v>0.70833333333333337</v>
      </c>
      <c r="D57" s="11" t="s">
        <v>310</v>
      </c>
      <c r="E57" s="11" t="s">
        <v>45</v>
      </c>
      <c r="F57" s="11" t="s">
        <v>311</v>
      </c>
      <c r="G57" s="11" t="s">
        <v>101</v>
      </c>
      <c r="H57" s="11" t="s">
        <v>29</v>
      </c>
      <c r="I57" s="11" t="s">
        <v>30</v>
      </c>
      <c r="J57" s="11" t="s">
        <v>92</v>
      </c>
      <c r="K57" s="11" t="s">
        <v>65</v>
      </c>
      <c r="L57" s="11">
        <v>28</v>
      </c>
      <c r="M57" s="11" t="s">
        <v>312</v>
      </c>
      <c r="N57" s="11" t="s">
        <v>313</v>
      </c>
      <c r="O57" s="11">
        <v>8</v>
      </c>
      <c r="P57" s="11">
        <v>30</v>
      </c>
      <c r="Q57" s="46" t="s">
        <v>314</v>
      </c>
      <c r="R57" s="44" t="s">
        <v>315</v>
      </c>
      <c r="S57" s="11" t="s">
        <v>101</v>
      </c>
      <c r="T57" s="11" t="s">
        <v>40</v>
      </c>
      <c r="U57" s="11" t="s">
        <v>316</v>
      </c>
      <c r="V57" s="11" t="s">
        <v>40</v>
      </c>
      <c r="W57" s="11" t="s">
        <v>40</v>
      </c>
      <c r="X57" s="46" t="s">
        <v>42</v>
      </c>
      <c r="Y57" s="11" t="s">
        <v>317</v>
      </c>
      <c r="Z57" s="11" t="s">
        <v>59</v>
      </c>
      <c r="AA57" s="11">
        <v>3</v>
      </c>
      <c r="AB57" s="11">
        <v>0</v>
      </c>
      <c r="AC57" s="12">
        <v>120546.59</v>
      </c>
      <c r="AD57" s="12">
        <f>AA57/24*AC57</f>
        <v>15068.32375</v>
      </c>
      <c r="AE57" s="12">
        <f>AB57/24*AC57</f>
        <v>0</v>
      </c>
      <c r="AF57" s="46"/>
    </row>
    <row r="58" spans="1:32" ht="22.5" customHeight="1" x14ac:dyDescent="0.25">
      <c r="A58" s="8">
        <v>57</v>
      </c>
      <c r="B58" s="9">
        <v>46022</v>
      </c>
      <c r="C58" s="10">
        <v>0.84375</v>
      </c>
      <c r="D58" s="11" t="s">
        <v>310</v>
      </c>
      <c r="E58" s="11" t="s">
        <v>45</v>
      </c>
      <c r="F58" s="11" t="s">
        <v>311</v>
      </c>
      <c r="G58" s="11" t="s">
        <v>101</v>
      </c>
      <c r="H58" s="11" t="s">
        <v>29</v>
      </c>
      <c r="I58" s="11" t="s">
        <v>30</v>
      </c>
      <c r="J58" s="11" t="s">
        <v>31</v>
      </c>
      <c r="K58" s="11" t="s">
        <v>65</v>
      </c>
      <c r="L58" s="11">
        <v>29</v>
      </c>
      <c r="M58" s="11" t="s">
        <v>318</v>
      </c>
      <c r="N58" s="11" t="s">
        <v>66</v>
      </c>
      <c r="O58" s="11"/>
      <c r="P58" s="11"/>
      <c r="Q58" s="46" t="s">
        <v>319</v>
      </c>
      <c r="R58" s="44" t="s">
        <v>320</v>
      </c>
      <c r="S58" s="11" t="s">
        <v>101</v>
      </c>
      <c r="T58" s="11" t="s">
        <v>40</v>
      </c>
      <c r="U58" s="11" t="s">
        <v>321</v>
      </c>
      <c r="V58" s="11" t="s">
        <v>40</v>
      </c>
      <c r="W58" s="11" t="s">
        <v>40</v>
      </c>
      <c r="X58" s="46" t="s">
        <v>322</v>
      </c>
      <c r="Y58" s="11" t="s">
        <v>309</v>
      </c>
      <c r="Z58" s="11" t="s">
        <v>72</v>
      </c>
      <c r="AA58" s="11">
        <v>41.3</v>
      </c>
      <c r="AB58" s="11">
        <v>0</v>
      </c>
      <c r="AC58" s="12">
        <v>120546.59</v>
      </c>
      <c r="AD58" s="12">
        <v>0</v>
      </c>
      <c r="AE58" s="12">
        <v>0</v>
      </c>
      <c r="AF58" s="46"/>
    </row>
    <row r="59" spans="1:32" ht="22.5" customHeight="1" x14ac:dyDescent="0.25">
      <c r="A59" s="8">
        <v>58</v>
      </c>
      <c r="B59" s="9">
        <v>46023</v>
      </c>
      <c r="C59" s="10">
        <v>7.2916666666666671E-2</v>
      </c>
      <c r="D59" s="11" t="s">
        <v>280</v>
      </c>
      <c r="E59" s="11" t="s">
        <v>281</v>
      </c>
      <c r="F59" s="11" t="s">
        <v>281</v>
      </c>
      <c r="G59" s="11" t="s">
        <v>235</v>
      </c>
      <c r="H59" s="11" t="s">
        <v>303</v>
      </c>
      <c r="I59" s="11" t="s">
        <v>304</v>
      </c>
      <c r="J59" s="11" t="s">
        <v>31</v>
      </c>
      <c r="K59" s="11" t="s">
        <v>65</v>
      </c>
      <c r="L59" s="11">
        <v>30</v>
      </c>
      <c r="M59" s="11" t="s">
        <v>318</v>
      </c>
      <c r="N59" s="11" t="s">
        <v>52</v>
      </c>
      <c r="O59" s="11" t="s">
        <v>323</v>
      </c>
      <c r="P59" s="11">
        <v>8</v>
      </c>
      <c r="Q59" s="46" t="s">
        <v>324</v>
      </c>
      <c r="R59" s="44" t="s">
        <v>325</v>
      </c>
      <c r="S59" s="11" t="s">
        <v>179</v>
      </c>
      <c r="T59" s="11" t="s">
        <v>40</v>
      </c>
      <c r="U59" s="11" t="s">
        <v>326</v>
      </c>
      <c r="V59" s="11" t="s">
        <v>40</v>
      </c>
      <c r="W59" s="11" t="s">
        <v>40</v>
      </c>
      <c r="X59" s="46" t="s">
        <v>42</v>
      </c>
      <c r="Y59" s="11" t="s">
        <v>309</v>
      </c>
      <c r="Z59" s="11" t="s">
        <v>72</v>
      </c>
      <c r="AA59" s="11">
        <v>0</v>
      </c>
      <c r="AB59" s="11">
        <v>49.9</v>
      </c>
      <c r="AC59" s="12">
        <v>34001.440000000002</v>
      </c>
      <c r="AD59" s="12">
        <v>0</v>
      </c>
      <c r="AE59" s="12">
        <v>0</v>
      </c>
      <c r="AF59" s="46"/>
    </row>
    <row r="60" spans="1:32" ht="22.5" customHeight="1" x14ac:dyDescent="0.25">
      <c r="A60" s="8">
        <v>59</v>
      </c>
      <c r="B60" s="9">
        <v>46023</v>
      </c>
      <c r="C60" s="10">
        <v>0.125</v>
      </c>
      <c r="D60" s="11" t="s">
        <v>46</v>
      </c>
      <c r="E60" s="11" t="s">
        <v>60</v>
      </c>
      <c r="F60" s="11" t="s">
        <v>47</v>
      </c>
      <c r="G60" s="11" t="s">
        <v>163</v>
      </c>
      <c r="H60" s="11" t="s">
        <v>49</v>
      </c>
      <c r="I60" s="11" t="s">
        <v>50</v>
      </c>
      <c r="J60" s="11" t="s">
        <v>110</v>
      </c>
      <c r="K60" s="11" t="s">
        <v>32</v>
      </c>
      <c r="L60" s="11">
        <v>31</v>
      </c>
      <c r="M60" s="11" t="s">
        <v>327</v>
      </c>
      <c r="N60" s="11" t="s">
        <v>34</v>
      </c>
      <c r="O60" s="11">
        <v>240</v>
      </c>
      <c r="P60" s="11">
        <v>280</v>
      </c>
      <c r="Q60" s="46" t="s">
        <v>328</v>
      </c>
      <c r="R60" s="44" t="s">
        <v>329</v>
      </c>
      <c r="S60" s="11" t="s">
        <v>205</v>
      </c>
      <c r="T60" s="11" t="s">
        <v>40</v>
      </c>
      <c r="U60" s="11" t="s">
        <v>330</v>
      </c>
      <c r="V60" s="11" t="s">
        <v>40</v>
      </c>
      <c r="W60" s="11" t="s">
        <v>40</v>
      </c>
      <c r="X60" s="46" t="s">
        <v>42</v>
      </c>
      <c r="Y60" s="11" t="s">
        <v>86</v>
      </c>
      <c r="Z60" s="11" t="s">
        <v>72</v>
      </c>
      <c r="AA60" s="11">
        <v>0</v>
      </c>
      <c r="AB60" s="11">
        <v>22.3</v>
      </c>
      <c r="AC60" s="12">
        <v>44717</v>
      </c>
      <c r="AD60" s="12">
        <v>0</v>
      </c>
      <c r="AE60" s="12">
        <v>0</v>
      </c>
      <c r="AF60" s="46"/>
    </row>
    <row r="61" spans="1:32" ht="22.5" customHeight="1" x14ac:dyDescent="0.25">
      <c r="A61" s="8">
        <v>60</v>
      </c>
      <c r="B61" s="9">
        <v>46023</v>
      </c>
      <c r="C61" s="10">
        <v>0.44444444444444442</v>
      </c>
      <c r="D61" s="11" t="s">
        <v>280</v>
      </c>
      <c r="E61" s="11" t="s">
        <v>333</v>
      </c>
      <c r="F61" s="11" t="s">
        <v>281</v>
      </c>
      <c r="G61" s="11" t="s">
        <v>235</v>
      </c>
      <c r="H61" s="11" t="s">
        <v>303</v>
      </c>
      <c r="I61" s="11" t="s">
        <v>304</v>
      </c>
      <c r="J61" s="11" t="s">
        <v>31</v>
      </c>
      <c r="K61" s="11" t="s">
        <v>65</v>
      </c>
      <c r="L61" s="11">
        <v>30</v>
      </c>
      <c r="M61" s="11" t="s">
        <v>327</v>
      </c>
      <c r="N61" s="11" t="s">
        <v>34</v>
      </c>
      <c r="O61" s="11">
        <v>20</v>
      </c>
      <c r="P61" s="11">
        <v>40</v>
      </c>
      <c r="Q61" s="46" t="s">
        <v>331</v>
      </c>
      <c r="R61" s="44" t="s">
        <v>332</v>
      </c>
      <c r="S61" s="11" t="s">
        <v>179</v>
      </c>
      <c r="T61" s="11" t="s">
        <v>40</v>
      </c>
      <c r="U61" s="11" t="s">
        <v>326</v>
      </c>
      <c r="V61" s="11" t="s">
        <v>40</v>
      </c>
      <c r="W61" s="11" t="s">
        <v>40</v>
      </c>
      <c r="X61" s="46" t="s">
        <v>42</v>
      </c>
      <c r="Y61" s="11" t="s">
        <v>317</v>
      </c>
      <c r="Z61" s="11" t="s">
        <v>59</v>
      </c>
      <c r="AA61" s="11">
        <v>0</v>
      </c>
      <c r="AB61" s="11">
        <v>25</v>
      </c>
      <c r="AC61" s="12">
        <v>34001.440000000002</v>
      </c>
      <c r="AD61" s="12">
        <v>0</v>
      </c>
      <c r="AE61" s="12">
        <v>0</v>
      </c>
      <c r="AF61" s="46"/>
    </row>
    <row r="62" spans="1:32" ht="22.5" customHeight="1" x14ac:dyDescent="0.25">
      <c r="A62" s="8">
        <v>61</v>
      </c>
      <c r="B62" s="9">
        <v>46023</v>
      </c>
      <c r="C62" s="10">
        <v>0.62569444444444444</v>
      </c>
      <c r="D62" s="11" t="s">
        <v>280</v>
      </c>
      <c r="E62" s="11" t="s">
        <v>333</v>
      </c>
      <c r="F62" s="11" t="s">
        <v>281</v>
      </c>
      <c r="G62" s="11" t="s">
        <v>235</v>
      </c>
      <c r="H62" s="11" t="s">
        <v>303</v>
      </c>
      <c r="I62" s="11" t="s">
        <v>304</v>
      </c>
      <c r="J62" s="11" t="s">
        <v>31</v>
      </c>
      <c r="K62" s="11" t="s">
        <v>65</v>
      </c>
      <c r="L62" s="11">
        <v>30</v>
      </c>
      <c r="M62" s="11" t="s">
        <v>318</v>
      </c>
      <c r="N62" s="11" t="s">
        <v>34</v>
      </c>
      <c r="O62" s="11">
        <v>0</v>
      </c>
      <c r="P62" s="11">
        <v>20</v>
      </c>
      <c r="Q62" s="46" t="s">
        <v>334</v>
      </c>
      <c r="R62" s="44" t="s">
        <v>335</v>
      </c>
      <c r="S62" s="11" t="s">
        <v>179</v>
      </c>
      <c r="T62" s="11" t="s">
        <v>40</v>
      </c>
      <c r="U62" s="11" t="s">
        <v>326</v>
      </c>
      <c r="V62" s="11" t="s">
        <v>40</v>
      </c>
      <c r="W62" s="11" t="s">
        <v>40</v>
      </c>
      <c r="X62" s="46" t="s">
        <v>42</v>
      </c>
      <c r="Y62" s="11" t="s">
        <v>317</v>
      </c>
      <c r="Z62" s="11" t="s">
        <v>59</v>
      </c>
      <c r="AA62" s="11">
        <v>0</v>
      </c>
      <c r="AB62" s="11">
        <v>0</v>
      </c>
      <c r="AC62" s="12">
        <v>34001.440000000002</v>
      </c>
      <c r="AD62" s="12">
        <v>0</v>
      </c>
      <c r="AE62" s="12">
        <v>0</v>
      </c>
      <c r="AF62" s="46"/>
    </row>
    <row r="63" spans="1:32" ht="22.5" customHeight="1" x14ac:dyDescent="0.25">
      <c r="A63" s="8">
        <v>62</v>
      </c>
      <c r="B63" s="9">
        <v>46025</v>
      </c>
      <c r="C63" s="10">
        <v>3.125E-2</v>
      </c>
      <c r="D63" s="11" t="s">
        <v>280</v>
      </c>
      <c r="E63" s="11" t="s">
        <v>333</v>
      </c>
      <c r="F63" s="11" t="s">
        <v>281</v>
      </c>
      <c r="G63" s="11" t="s">
        <v>235</v>
      </c>
      <c r="H63" s="11" t="s">
        <v>303</v>
      </c>
      <c r="I63" s="11" t="s">
        <v>304</v>
      </c>
      <c r="J63" s="11" t="s">
        <v>110</v>
      </c>
      <c r="K63" s="11" t="s">
        <v>65</v>
      </c>
      <c r="L63" s="11">
        <v>31</v>
      </c>
      <c r="M63" s="11" t="s">
        <v>327</v>
      </c>
      <c r="N63" s="11" t="s">
        <v>34</v>
      </c>
      <c r="O63" s="11">
        <v>230</v>
      </c>
      <c r="P63" s="11">
        <v>250</v>
      </c>
      <c r="Q63" s="46" t="s">
        <v>336</v>
      </c>
      <c r="R63" s="44" t="s">
        <v>337</v>
      </c>
      <c r="S63" s="11" t="s">
        <v>179</v>
      </c>
      <c r="T63" s="11" t="s">
        <v>40</v>
      </c>
      <c r="U63" s="11" t="s">
        <v>326</v>
      </c>
      <c r="V63" s="11" t="s">
        <v>40</v>
      </c>
      <c r="W63" s="11" t="s">
        <v>40</v>
      </c>
      <c r="X63" s="46" t="s">
        <v>338</v>
      </c>
      <c r="Y63" s="11" t="s">
        <v>317</v>
      </c>
      <c r="Z63" s="11" t="s">
        <v>59</v>
      </c>
      <c r="AA63" s="11">
        <v>0</v>
      </c>
      <c r="AB63" s="11">
        <v>25</v>
      </c>
      <c r="AC63" s="12">
        <v>34001.440000000002</v>
      </c>
      <c r="AD63" s="12">
        <v>0</v>
      </c>
      <c r="AE63" s="12">
        <v>0</v>
      </c>
      <c r="AF63" s="46"/>
    </row>
    <row r="64" spans="1:32" ht="22.5" customHeight="1" x14ac:dyDescent="0.25">
      <c r="A64" s="8">
        <v>63</v>
      </c>
      <c r="B64" s="9">
        <v>46025</v>
      </c>
      <c r="C64" s="10">
        <v>4.1666666666666664E-2</v>
      </c>
      <c r="D64" s="11" t="s">
        <v>280</v>
      </c>
      <c r="E64" s="11" t="s">
        <v>333</v>
      </c>
      <c r="F64" s="11" t="s">
        <v>281</v>
      </c>
      <c r="G64" s="11" t="s">
        <v>235</v>
      </c>
      <c r="H64" s="11" t="s">
        <v>303</v>
      </c>
      <c r="I64" s="11" t="s">
        <v>304</v>
      </c>
      <c r="J64" s="11" t="s">
        <v>110</v>
      </c>
      <c r="K64" s="11" t="s">
        <v>65</v>
      </c>
      <c r="L64" s="11">
        <v>32</v>
      </c>
      <c r="M64" s="11" t="s">
        <v>318</v>
      </c>
      <c r="N64" s="11" t="s">
        <v>34</v>
      </c>
      <c r="O64" s="11">
        <v>230</v>
      </c>
      <c r="P64" s="11">
        <v>250</v>
      </c>
      <c r="Q64" s="46" t="s">
        <v>339</v>
      </c>
      <c r="R64" s="44" t="s">
        <v>340</v>
      </c>
      <c r="S64" s="11" t="s">
        <v>179</v>
      </c>
      <c r="T64" s="11" t="s">
        <v>40</v>
      </c>
      <c r="U64" s="11" t="s">
        <v>326</v>
      </c>
      <c r="V64" s="11" t="s">
        <v>40</v>
      </c>
      <c r="W64" s="11" t="s">
        <v>40</v>
      </c>
      <c r="X64" s="46" t="s">
        <v>42</v>
      </c>
      <c r="Y64" s="11" t="s">
        <v>309</v>
      </c>
      <c r="Z64" s="11" t="s">
        <v>72</v>
      </c>
      <c r="AA64" s="11">
        <v>0</v>
      </c>
      <c r="AB64" s="11">
        <v>25</v>
      </c>
      <c r="AC64" s="12">
        <v>34001.440000000002</v>
      </c>
      <c r="AD64" s="12">
        <v>0</v>
      </c>
      <c r="AE64" s="12">
        <v>0</v>
      </c>
      <c r="AF64" s="46"/>
    </row>
    <row r="65" spans="1:32" ht="22.5" customHeight="1" x14ac:dyDescent="0.25">
      <c r="A65" s="8">
        <v>64</v>
      </c>
      <c r="B65" s="9">
        <v>46025</v>
      </c>
      <c r="C65" s="10">
        <v>0.10416666666666667</v>
      </c>
      <c r="D65" s="11" t="s">
        <v>280</v>
      </c>
      <c r="E65" s="11" t="s">
        <v>333</v>
      </c>
      <c r="F65" s="11" t="s">
        <v>281</v>
      </c>
      <c r="G65" s="11" t="s">
        <v>235</v>
      </c>
      <c r="H65" s="11" t="s">
        <v>303</v>
      </c>
      <c r="I65" s="11" t="s">
        <v>304</v>
      </c>
      <c r="J65" s="11" t="s">
        <v>110</v>
      </c>
      <c r="K65" s="11" t="s">
        <v>32</v>
      </c>
      <c r="L65" s="11">
        <v>33</v>
      </c>
      <c r="M65" s="11" t="s">
        <v>318</v>
      </c>
      <c r="N65" s="11" t="s">
        <v>341</v>
      </c>
      <c r="O65" s="11">
        <v>3</v>
      </c>
      <c r="P65" s="11">
        <v>6</v>
      </c>
      <c r="Q65" s="46" t="s">
        <v>342</v>
      </c>
      <c r="R65" s="44" t="s">
        <v>343</v>
      </c>
      <c r="S65" s="11" t="s">
        <v>179</v>
      </c>
      <c r="T65" s="11" t="s">
        <v>40</v>
      </c>
      <c r="U65" s="11" t="s">
        <v>326</v>
      </c>
      <c r="V65" s="11" t="s">
        <v>40</v>
      </c>
      <c r="W65" s="11" t="s">
        <v>40</v>
      </c>
      <c r="X65" s="46" t="s">
        <v>42</v>
      </c>
      <c r="Y65" s="11" t="s">
        <v>309</v>
      </c>
      <c r="Z65" s="11" t="s">
        <v>72</v>
      </c>
      <c r="AA65" s="11">
        <v>0</v>
      </c>
      <c r="AB65" s="11">
        <v>25</v>
      </c>
      <c r="AC65" s="12">
        <v>34001.440000000002</v>
      </c>
      <c r="AD65" s="12">
        <v>0</v>
      </c>
      <c r="AE65" s="12">
        <v>0</v>
      </c>
      <c r="AF65" s="46"/>
    </row>
    <row r="66" spans="1:32" ht="22.5" customHeight="1" x14ac:dyDescent="0.25">
      <c r="A66" s="8">
        <v>65</v>
      </c>
      <c r="B66" s="9">
        <v>46025</v>
      </c>
      <c r="C66" s="10">
        <v>0.14583333333333334</v>
      </c>
      <c r="D66" s="11" t="s">
        <v>280</v>
      </c>
      <c r="E66" s="11" t="s">
        <v>333</v>
      </c>
      <c r="F66" s="11" t="s">
        <v>281</v>
      </c>
      <c r="G66" s="11" t="s">
        <v>235</v>
      </c>
      <c r="H66" s="11" t="s">
        <v>303</v>
      </c>
      <c r="I66" s="11" t="s">
        <v>304</v>
      </c>
      <c r="J66" s="11" t="s">
        <v>110</v>
      </c>
      <c r="K66" s="11" t="s">
        <v>32</v>
      </c>
      <c r="L66" s="11">
        <v>32</v>
      </c>
      <c r="M66" s="11" t="s">
        <v>318</v>
      </c>
      <c r="N66" s="11" t="s">
        <v>165</v>
      </c>
      <c r="O66" s="11">
        <v>0</v>
      </c>
      <c r="P66" s="11">
        <v>60</v>
      </c>
      <c r="Q66" s="46" t="s">
        <v>344</v>
      </c>
      <c r="R66" s="44" t="s">
        <v>345</v>
      </c>
      <c r="S66" s="11" t="s">
        <v>179</v>
      </c>
      <c r="T66" s="11" t="s">
        <v>40</v>
      </c>
      <c r="U66" s="11" t="s">
        <v>326</v>
      </c>
      <c r="V66" s="11" t="s">
        <v>40</v>
      </c>
      <c r="W66" s="11" t="s">
        <v>40</v>
      </c>
      <c r="X66" s="46" t="s">
        <v>42</v>
      </c>
      <c r="Y66" s="11" t="s">
        <v>309</v>
      </c>
      <c r="Z66" s="11" t="s">
        <v>72</v>
      </c>
      <c r="AA66" s="11">
        <v>0</v>
      </c>
      <c r="AB66" s="11">
        <v>0</v>
      </c>
      <c r="AC66" s="12">
        <v>34001.440000000002</v>
      </c>
      <c r="AD66" s="12">
        <v>0</v>
      </c>
      <c r="AE66" s="12">
        <v>0</v>
      </c>
      <c r="AF66" s="46"/>
    </row>
    <row r="67" spans="1:32" ht="22.5" customHeight="1" x14ac:dyDescent="0.25">
      <c r="A67" s="8">
        <v>66</v>
      </c>
      <c r="B67" s="9">
        <v>46025</v>
      </c>
      <c r="C67" s="10">
        <v>0.58333333333333337</v>
      </c>
      <c r="D67" s="11" t="s">
        <v>280</v>
      </c>
      <c r="E67" s="11" t="s">
        <v>333</v>
      </c>
      <c r="F67" s="11" t="s">
        <v>281</v>
      </c>
      <c r="G67" s="11" t="s">
        <v>235</v>
      </c>
      <c r="H67" s="11" t="s">
        <v>303</v>
      </c>
      <c r="I67" s="11" t="s">
        <v>304</v>
      </c>
      <c r="J67" s="11" t="s">
        <v>110</v>
      </c>
      <c r="K67" s="11" t="s">
        <v>65</v>
      </c>
      <c r="L67" s="11">
        <v>30</v>
      </c>
      <c r="M67" s="11" t="s">
        <v>318</v>
      </c>
      <c r="N67" s="11" t="s">
        <v>346</v>
      </c>
      <c r="O67" s="11">
        <v>86</v>
      </c>
      <c r="P67" s="11">
        <v>85</v>
      </c>
      <c r="Q67" s="46" t="s">
        <v>347</v>
      </c>
      <c r="R67" s="44" t="s">
        <v>348</v>
      </c>
      <c r="S67" s="11" t="s">
        <v>179</v>
      </c>
      <c r="T67" s="11" t="s">
        <v>40</v>
      </c>
      <c r="U67" s="11" t="s">
        <v>326</v>
      </c>
      <c r="V67" s="11" t="s">
        <v>40</v>
      </c>
      <c r="W67" s="11" t="s">
        <v>40</v>
      </c>
      <c r="X67" s="46" t="s">
        <v>349</v>
      </c>
      <c r="Y67" s="11" t="s">
        <v>317</v>
      </c>
      <c r="Z67" s="11" t="s">
        <v>59</v>
      </c>
      <c r="AA67" s="11">
        <v>0</v>
      </c>
      <c r="AB67" s="11">
        <v>25</v>
      </c>
      <c r="AC67" s="12">
        <v>34001.440000000002</v>
      </c>
      <c r="AD67" s="12">
        <v>0</v>
      </c>
      <c r="AE67" s="12">
        <v>0</v>
      </c>
      <c r="AF67" s="46"/>
    </row>
    <row r="68" spans="1:32" ht="22.5" customHeight="1" x14ac:dyDescent="0.25">
      <c r="A68" s="8">
        <v>67</v>
      </c>
      <c r="B68" s="9">
        <v>46025</v>
      </c>
      <c r="C68" s="10">
        <v>0.79166666666666663</v>
      </c>
      <c r="D68" s="11" t="s">
        <v>310</v>
      </c>
      <c r="E68" s="11" t="s">
        <v>45</v>
      </c>
      <c r="F68" s="11" t="s">
        <v>311</v>
      </c>
      <c r="G68" s="11" t="s">
        <v>101</v>
      </c>
      <c r="H68" s="11" t="s">
        <v>29</v>
      </c>
      <c r="I68" s="11" t="s">
        <v>30</v>
      </c>
      <c r="J68" s="11" t="s">
        <v>31</v>
      </c>
      <c r="K68" s="11" t="s">
        <v>65</v>
      </c>
      <c r="L68" s="11">
        <v>34</v>
      </c>
      <c r="M68" s="11" t="s">
        <v>318</v>
      </c>
      <c r="N68" s="11" t="s">
        <v>223</v>
      </c>
      <c r="O68" s="11">
        <v>650</v>
      </c>
      <c r="P68" s="11">
        <v>4000</v>
      </c>
      <c r="Q68" s="46" t="s">
        <v>350</v>
      </c>
      <c r="R68" s="44" t="s">
        <v>351</v>
      </c>
      <c r="S68" s="11" t="s">
        <v>101</v>
      </c>
      <c r="T68" s="11" t="s">
        <v>40</v>
      </c>
      <c r="U68" s="11" t="s">
        <v>326</v>
      </c>
      <c r="V68" s="11" t="s">
        <v>40</v>
      </c>
      <c r="W68" s="11" t="s">
        <v>40</v>
      </c>
      <c r="X68" s="46" t="s">
        <v>352</v>
      </c>
      <c r="Y68" s="11" t="s">
        <v>309</v>
      </c>
      <c r="Z68" s="11" t="s">
        <v>72</v>
      </c>
      <c r="AA68" s="11">
        <v>0</v>
      </c>
      <c r="AB68" s="11">
        <v>1</v>
      </c>
      <c r="AC68" s="12">
        <v>120546.59</v>
      </c>
      <c r="AD68" s="12">
        <v>0</v>
      </c>
      <c r="AE68" s="12">
        <v>0</v>
      </c>
      <c r="AF68" s="46"/>
    </row>
    <row r="69" spans="1:32" ht="22.5" customHeight="1" x14ac:dyDescent="0.25">
      <c r="A69" s="8">
        <v>68</v>
      </c>
      <c r="B69" s="9">
        <v>46026</v>
      </c>
      <c r="C69" s="10">
        <v>0.69097222222222221</v>
      </c>
      <c r="D69" s="11" t="s">
        <v>287</v>
      </c>
      <c r="E69" s="11" t="s">
        <v>295</v>
      </c>
      <c r="F69" s="11" t="s">
        <v>353</v>
      </c>
      <c r="G69" s="11" t="s">
        <v>235</v>
      </c>
      <c r="H69" s="11" t="s">
        <v>354</v>
      </c>
      <c r="I69" s="11" t="s">
        <v>201</v>
      </c>
      <c r="J69" s="11" t="s">
        <v>64</v>
      </c>
      <c r="K69" s="11" t="s">
        <v>65</v>
      </c>
      <c r="L69" s="11">
        <v>35</v>
      </c>
      <c r="M69" s="11" t="s">
        <v>355</v>
      </c>
      <c r="N69" s="11" t="s">
        <v>223</v>
      </c>
      <c r="O69" s="11">
        <v>3500</v>
      </c>
      <c r="P69" s="11">
        <v>3950</v>
      </c>
      <c r="Q69" s="46" t="s">
        <v>356</v>
      </c>
      <c r="R69" s="44" t="s">
        <v>357</v>
      </c>
      <c r="S69" s="11" t="s">
        <v>179</v>
      </c>
      <c r="T69" s="11" t="s">
        <v>40</v>
      </c>
      <c r="U69" s="11" t="s">
        <v>326</v>
      </c>
      <c r="V69" s="11" t="s">
        <v>40</v>
      </c>
      <c r="W69" s="11" t="s">
        <v>40</v>
      </c>
      <c r="X69" s="46" t="s">
        <v>349</v>
      </c>
      <c r="Y69" s="11" t="s">
        <v>317</v>
      </c>
      <c r="Z69" s="11" t="s">
        <v>59</v>
      </c>
      <c r="AA69" s="11">
        <v>0</v>
      </c>
      <c r="AB69" s="11">
        <v>0</v>
      </c>
      <c r="AC69" s="12">
        <v>120546.59</v>
      </c>
      <c r="AD69" s="12">
        <v>0</v>
      </c>
      <c r="AE69" s="12">
        <v>0</v>
      </c>
      <c r="AF69" s="46"/>
    </row>
    <row r="70" spans="1:32" ht="22.5" customHeight="1" x14ac:dyDescent="0.25">
      <c r="A70" s="8">
        <v>69</v>
      </c>
      <c r="B70" s="9">
        <v>46026</v>
      </c>
      <c r="C70" s="10">
        <v>0.85416666666666663</v>
      </c>
      <c r="D70" s="11" t="s">
        <v>280</v>
      </c>
      <c r="E70" s="11" t="s">
        <v>333</v>
      </c>
      <c r="F70" s="11" t="s">
        <v>281</v>
      </c>
      <c r="G70" s="11" t="s">
        <v>235</v>
      </c>
      <c r="H70" s="11" t="s">
        <v>303</v>
      </c>
      <c r="I70" s="11" t="s">
        <v>304</v>
      </c>
      <c r="J70" s="11" t="s">
        <v>110</v>
      </c>
      <c r="K70" s="11" t="s">
        <v>65</v>
      </c>
      <c r="L70" s="11">
        <v>30</v>
      </c>
      <c r="M70" s="11" t="s">
        <v>318</v>
      </c>
      <c r="N70" s="11" t="s">
        <v>346</v>
      </c>
      <c r="O70" s="11">
        <v>88</v>
      </c>
      <c r="P70" s="11">
        <v>78</v>
      </c>
      <c r="Q70" s="46" t="s">
        <v>358</v>
      </c>
      <c r="R70" s="44" t="s">
        <v>359</v>
      </c>
      <c r="S70" s="11" t="s">
        <v>179</v>
      </c>
      <c r="T70" s="11" t="s">
        <v>40</v>
      </c>
      <c r="U70" s="11" t="s">
        <v>326</v>
      </c>
      <c r="V70" s="11" t="s">
        <v>40</v>
      </c>
      <c r="W70" s="11" t="s">
        <v>40</v>
      </c>
      <c r="X70" s="46" t="s">
        <v>42</v>
      </c>
      <c r="Y70" s="11" t="s">
        <v>309</v>
      </c>
      <c r="Z70" s="11" t="s">
        <v>72</v>
      </c>
      <c r="AA70" s="11">
        <v>0</v>
      </c>
      <c r="AB70" s="11">
        <v>25</v>
      </c>
      <c r="AC70" s="12">
        <v>34001.440000000002</v>
      </c>
      <c r="AD70" s="12">
        <v>0</v>
      </c>
      <c r="AE70" s="12">
        <v>0</v>
      </c>
      <c r="AF70" s="46"/>
    </row>
    <row r="71" spans="1:32" ht="22.5" customHeight="1" x14ac:dyDescent="0.25">
      <c r="A71" s="8">
        <v>70</v>
      </c>
      <c r="B71" s="9">
        <v>46026</v>
      </c>
      <c r="C71" s="10">
        <v>0.95833333333333337</v>
      </c>
      <c r="D71" s="11" t="s">
        <v>287</v>
      </c>
      <c r="E71" s="11" t="s">
        <v>295</v>
      </c>
      <c r="F71" s="11" t="s">
        <v>353</v>
      </c>
      <c r="G71" s="11" t="s">
        <v>235</v>
      </c>
      <c r="H71" s="11" t="s">
        <v>354</v>
      </c>
      <c r="I71" s="11" t="s">
        <v>201</v>
      </c>
      <c r="J71" s="11" t="s">
        <v>31</v>
      </c>
      <c r="K71" s="11" t="s">
        <v>65</v>
      </c>
      <c r="L71" s="11">
        <v>36</v>
      </c>
      <c r="M71" s="11" t="s">
        <v>318</v>
      </c>
      <c r="N71" s="11" t="s">
        <v>171</v>
      </c>
      <c r="O71" s="11">
        <v>15</v>
      </c>
      <c r="P71" s="11">
        <v>20</v>
      </c>
      <c r="Q71" s="46" t="s">
        <v>360</v>
      </c>
      <c r="R71" s="44" t="s">
        <v>361</v>
      </c>
      <c r="S71" s="11" t="s">
        <v>179</v>
      </c>
      <c r="T71" s="11" t="s">
        <v>40</v>
      </c>
      <c r="U71" s="11" t="s">
        <v>362</v>
      </c>
      <c r="V71" s="11" t="s">
        <v>40</v>
      </c>
      <c r="W71" s="11" t="s">
        <v>40</v>
      </c>
      <c r="X71" s="46" t="s">
        <v>42</v>
      </c>
      <c r="Y71" s="11" t="s">
        <v>363</v>
      </c>
      <c r="Z71" s="11" t="s">
        <v>72</v>
      </c>
      <c r="AA71" s="11">
        <v>0</v>
      </c>
      <c r="AB71" s="11">
        <v>66.5</v>
      </c>
      <c r="AC71" s="12">
        <v>120546.59</v>
      </c>
      <c r="AD71" s="12">
        <v>0</v>
      </c>
      <c r="AE71" s="12">
        <v>0</v>
      </c>
      <c r="AF71" s="46"/>
    </row>
    <row r="72" spans="1:32" ht="22.5" customHeight="1" x14ac:dyDescent="0.25">
      <c r="A72" s="8">
        <v>71</v>
      </c>
      <c r="B72" s="9">
        <v>46027</v>
      </c>
      <c r="C72" s="10">
        <v>6.25E-2</v>
      </c>
      <c r="D72" s="11" t="s">
        <v>280</v>
      </c>
      <c r="E72" s="11" t="s">
        <v>333</v>
      </c>
      <c r="F72" s="11" t="s">
        <v>281</v>
      </c>
      <c r="G72" s="11" t="s">
        <v>235</v>
      </c>
      <c r="H72" s="11" t="s">
        <v>303</v>
      </c>
      <c r="I72" s="11" t="s">
        <v>304</v>
      </c>
      <c r="J72" s="11" t="s">
        <v>110</v>
      </c>
      <c r="K72" s="11" t="s">
        <v>65</v>
      </c>
      <c r="L72" s="11">
        <v>32</v>
      </c>
      <c r="M72" s="11" t="s">
        <v>318</v>
      </c>
      <c r="N72" s="11" t="s">
        <v>34</v>
      </c>
      <c r="O72" s="11">
        <v>230</v>
      </c>
      <c r="P72" s="11">
        <v>250</v>
      </c>
      <c r="Q72" s="46" t="s">
        <v>364</v>
      </c>
      <c r="R72" s="44" t="s">
        <v>365</v>
      </c>
      <c r="S72" s="11" t="s">
        <v>179</v>
      </c>
      <c r="T72" s="11" t="s">
        <v>40</v>
      </c>
      <c r="U72" s="11" t="s">
        <v>326</v>
      </c>
      <c r="V72" s="11" t="s">
        <v>40</v>
      </c>
      <c r="W72" s="11" t="s">
        <v>40</v>
      </c>
      <c r="X72" s="46" t="s">
        <v>42</v>
      </c>
      <c r="Y72" s="11" t="s">
        <v>309</v>
      </c>
      <c r="Z72" s="11" t="s">
        <v>72</v>
      </c>
      <c r="AA72" s="11">
        <v>0</v>
      </c>
      <c r="AB72" s="11">
        <v>0</v>
      </c>
      <c r="AC72" s="12">
        <v>34001.440000000002</v>
      </c>
      <c r="AD72" s="12">
        <v>0</v>
      </c>
      <c r="AE72" s="12">
        <v>0</v>
      </c>
      <c r="AF72" s="46"/>
    </row>
    <row r="73" spans="1:32" ht="22.5" customHeight="1" x14ac:dyDescent="0.25">
      <c r="A73" s="8">
        <v>72</v>
      </c>
      <c r="B73" s="9">
        <v>46027</v>
      </c>
      <c r="C73" s="10">
        <v>8.3333333333333329E-2</v>
      </c>
      <c r="D73" s="11" t="s">
        <v>287</v>
      </c>
      <c r="E73" s="11" t="s">
        <v>295</v>
      </c>
      <c r="F73" s="11" t="s">
        <v>353</v>
      </c>
      <c r="G73" s="11" t="s">
        <v>235</v>
      </c>
      <c r="H73" s="11" t="s">
        <v>354</v>
      </c>
      <c r="I73" s="11" t="s">
        <v>201</v>
      </c>
      <c r="J73" s="11" t="s">
        <v>92</v>
      </c>
      <c r="K73" s="11" t="s">
        <v>32</v>
      </c>
      <c r="L73" s="11">
        <v>37</v>
      </c>
      <c r="M73" s="11" t="s">
        <v>366</v>
      </c>
      <c r="N73" s="11" t="s">
        <v>66</v>
      </c>
      <c r="O73" s="11">
        <v>20</v>
      </c>
      <c r="P73" s="11">
        <v>30</v>
      </c>
      <c r="Q73" s="46" t="s">
        <v>367</v>
      </c>
      <c r="R73" s="44" t="s">
        <v>368</v>
      </c>
      <c r="S73" s="11" t="s">
        <v>179</v>
      </c>
      <c r="T73" s="11" t="s">
        <v>40</v>
      </c>
      <c r="U73" s="11" t="s">
        <v>369</v>
      </c>
      <c r="V73" s="11" t="s">
        <v>80</v>
      </c>
      <c r="W73" s="11" t="s">
        <v>80</v>
      </c>
      <c r="X73" s="46"/>
      <c r="Y73" s="11" t="s">
        <v>363</v>
      </c>
      <c r="Z73" s="11" t="s">
        <v>72</v>
      </c>
      <c r="AA73" s="11">
        <v>0</v>
      </c>
      <c r="AB73" s="11">
        <v>1.21</v>
      </c>
      <c r="AC73" s="12">
        <v>120546.59</v>
      </c>
      <c r="AD73" s="12">
        <f>AA73/24*AC73</f>
        <v>0</v>
      </c>
      <c r="AE73" s="12">
        <f>AB73/24*AC73</f>
        <v>6077.5572458333327</v>
      </c>
      <c r="AF73" s="46"/>
    </row>
    <row r="74" spans="1:32" ht="22.5" customHeight="1" x14ac:dyDescent="0.25">
      <c r="A74" s="8">
        <v>73</v>
      </c>
      <c r="B74" s="9">
        <v>46028</v>
      </c>
      <c r="C74" s="10">
        <v>0.22916666666666666</v>
      </c>
      <c r="D74" s="11" t="s">
        <v>370</v>
      </c>
      <c r="E74" s="11" t="s">
        <v>295</v>
      </c>
      <c r="F74" s="11" t="s">
        <v>371</v>
      </c>
      <c r="G74" s="11" t="s">
        <v>372</v>
      </c>
      <c r="H74" s="11" t="s">
        <v>373</v>
      </c>
      <c r="I74" s="11" t="s">
        <v>374</v>
      </c>
      <c r="J74" s="11" t="s">
        <v>31</v>
      </c>
      <c r="K74" s="11" t="s">
        <v>65</v>
      </c>
      <c r="L74" s="11">
        <v>38</v>
      </c>
      <c r="M74" s="11" t="s">
        <v>318</v>
      </c>
      <c r="N74" s="11" t="s">
        <v>165</v>
      </c>
      <c r="O74" s="11">
        <v>120</v>
      </c>
      <c r="P74" s="11">
        <v>140</v>
      </c>
      <c r="Q74" s="46" t="s">
        <v>375</v>
      </c>
      <c r="R74" s="44" t="s">
        <v>376</v>
      </c>
      <c r="S74" s="11" t="s">
        <v>377</v>
      </c>
      <c r="T74" s="24" t="s">
        <v>40</v>
      </c>
      <c r="U74" s="11" t="s">
        <v>326</v>
      </c>
      <c r="V74" s="11" t="s">
        <v>40</v>
      </c>
      <c r="W74" s="11" t="s">
        <v>40</v>
      </c>
      <c r="X74" s="46" t="s">
        <v>42</v>
      </c>
      <c r="Y74" s="11" t="s">
        <v>309</v>
      </c>
      <c r="Z74" s="11" t="s">
        <v>72</v>
      </c>
      <c r="AA74" s="11">
        <v>0</v>
      </c>
      <c r="AB74" s="11">
        <v>50</v>
      </c>
      <c r="AC74" s="12">
        <v>120546.59</v>
      </c>
      <c r="AD74" s="12">
        <v>0</v>
      </c>
      <c r="AE74" s="12">
        <v>0</v>
      </c>
      <c r="AF74" s="46"/>
    </row>
    <row r="75" spans="1:32" ht="22.5" customHeight="1" x14ac:dyDescent="0.25">
      <c r="A75" s="8">
        <v>74</v>
      </c>
      <c r="B75" s="9">
        <v>46028</v>
      </c>
      <c r="C75" s="10">
        <v>0.41666666666666669</v>
      </c>
      <c r="D75" s="11" t="s">
        <v>370</v>
      </c>
      <c r="E75" s="11" t="s">
        <v>295</v>
      </c>
      <c r="F75" s="11" t="s">
        <v>371</v>
      </c>
      <c r="G75" s="11" t="s">
        <v>372</v>
      </c>
      <c r="H75" s="11" t="s">
        <v>373</v>
      </c>
      <c r="I75" s="11" t="s">
        <v>374</v>
      </c>
      <c r="J75" s="11" t="s">
        <v>31</v>
      </c>
      <c r="K75" s="11" t="s">
        <v>65</v>
      </c>
      <c r="L75" s="11">
        <v>38</v>
      </c>
      <c r="M75" s="11" t="s">
        <v>318</v>
      </c>
      <c r="N75" s="11" t="s">
        <v>165</v>
      </c>
      <c r="O75" s="11">
        <v>120</v>
      </c>
      <c r="P75" s="11">
        <v>140</v>
      </c>
      <c r="Q75" s="46" t="s">
        <v>378</v>
      </c>
      <c r="R75" s="44" t="s">
        <v>376</v>
      </c>
      <c r="S75" s="11" t="s">
        <v>377</v>
      </c>
      <c r="T75" s="11" t="s">
        <v>40</v>
      </c>
      <c r="U75" s="11" t="s">
        <v>379</v>
      </c>
      <c r="V75" s="11" t="s">
        <v>40</v>
      </c>
      <c r="W75" s="11" t="s">
        <v>40</v>
      </c>
      <c r="X75" s="46" t="s">
        <v>42</v>
      </c>
      <c r="Y75" s="11" t="s">
        <v>380</v>
      </c>
      <c r="Z75" s="11" t="s">
        <v>59</v>
      </c>
      <c r="AA75" s="11">
        <v>0</v>
      </c>
      <c r="AB75" s="11">
        <v>50</v>
      </c>
      <c r="AC75" s="12">
        <v>120546.59</v>
      </c>
      <c r="AD75" s="12">
        <v>0</v>
      </c>
      <c r="AE75" s="12">
        <v>0</v>
      </c>
      <c r="AF75" s="46"/>
    </row>
    <row r="76" spans="1:32" ht="22.5" customHeight="1" x14ac:dyDescent="0.25">
      <c r="A76" s="8">
        <v>75</v>
      </c>
      <c r="B76" s="9">
        <v>46028</v>
      </c>
      <c r="C76" s="10">
        <v>0.625</v>
      </c>
      <c r="D76" s="11" t="s">
        <v>280</v>
      </c>
      <c r="E76" s="11" t="s">
        <v>333</v>
      </c>
      <c r="F76" s="11" t="s">
        <v>281</v>
      </c>
      <c r="G76" s="11" t="s">
        <v>235</v>
      </c>
      <c r="H76" s="11" t="s">
        <v>303</v>
      </c>
      <c r="I76" s="11" t="s">
        <v>304</v>
      </c>
      <c r="J76" s="11" t="s">
        <v>110</v>
      </c>
      <c r="K76" s="11" t="s">
        <v>65</v>
      </c>
      <c r="L76" s="11">
        <v>32</v>
      </c>
      <c r="M76" s="11" t="s">
        <v>381</v>
      </c>
      <c r="N76" s="11" t="s">
        <v>34</v>
      </c>
      <c r="O76" s="11">
        <v>170</v>
      </c>
      <c r="P76" s="11">
        <v>200</v>
      </c>
      <c r="Q76" s="46" t="s">
        <v>382</v>
      </c>
      <c r="R76" s="44" t="s">
        <v>383</v>
      </c>
      <c r="S76" s="11" t="s">
        <v>179</v>
      </c>
      <c r="T76" s="11" t="s">
        <v>40</v>
      </c>
      <c r="U76" s="11" t="s">
        <v>384</v>
      </c>
      <c r="V76" s="11" t="s">
        <v>40</v>
      </c>
      <c r="W76" s="11" t="s">
        <v>40</v>
      </c>
      <c r="X76" s="46" t="s">
        <v>349</v>
      </c>
      <c r="Y76" s="11" t="s">
        <v>317</v>
      </c>
      <c r="Z76" s="11" t="s">
        <v>59</v>
      </c>
      <c r="AA76" s="11">
        <v>0</v>
      </c>
      <c r="AB76" s="11">
        <v>0</v>
      </c>
      <c r="AC76" s="12">
        <v>34001.440000000002</v>
      </c>
      <c r="AD76" s="12">
        <v>0</v>
      </c>
      <c r="AE76" s="12">
        <v>0</v>
      </c>
      <c r="AF76" s="46"/>
    </row>
    <row r="77" spans="1:32" ht="22.5" customHeight="1" x14ac:dyDescent="0.25">
      <c r="A77" s="8">
        <v>76</v>
      </c>
      <c r="B77" s="9">
        <v>46028</v>
      </c>
      <c r="C77" s="10">
        <v>0.8125</v>
      </c>
      <c r="D77" s="11" t="s">
        <v>280</v>
      </c>
      <c r="E77" s="11" t="s">
        <v>333</v>
      </c>
      <c r="F77" s="11" t="s">
        <v>281</v>
      </c>
      <c r="G77" s="11" t="s">
        <v>235</v>
      </c>
      <c r="H77" s="11" t="s">
        <v>303</v>
      </c>
      <c r="I77" s="11" t="s">
        <v>304</v>
      </c>
      <c r="J77" s="11" t="s">
        <v>110</v>
      </c>
      <c r="K77" s="11" t="s">
        <v>65</v>
      </c>
      <c r="L77" s="11">
        <v>32</v>
      </c>
      <c r="M77" s="11" t="s">
        <v>381</v>
      </c>
      <c r="N77" s="11" t="s">
        <v>165</v>
      </c>
      <c r="O77" s="11">
        <v>60</v>
      </c>
      <c r="P77" s="11">
        <v>0</v>
      </c>
      <c r="Q77" s="46" t="s">
        <v>385</v>
      </c>
      <c r="R77" s="44" t="s">
        <v>386</v>
      </c>
      <c r="S77" s="11" t="s">
        <v>179</v>
      </c>
      <c r="T77" s="11" t="s">
        <v>40</v>
      </c>
      <c r="U77" s="11" t="s">
        <v>326</v>
      </c>
      <c r="V77" s="11" t="s">
        <v>40</v>
      </c>
      <c r="W77" s="11" t="s">
        <v>40</v>
      </c>
      <c r="X77" s="46" t="s">
        <v>387</v>
      </c>
      <c r="Y77" s="11" t="s">
        <v>388</v>
      </c>
      <c r="Z77" s="11" t="s">
        <v>72</v>
      </c>
      <c r="AA77" s="11">
        <v>0</v>
      </c>
      <c r="AB77" s="11">
        <v>0</v>
      </c>
      <c r="AC77" s="12">
        <v>34001.440000000002</v>
      </c>
      <c r="AD77" s="12">
        <v>0</v>
      </c>
      <c r="AE77" s="12">
        <v>0</v>
      </c>
      <c r="AF77" s="46"/>
    </row>
    <row r="78" spans="1:32" ht="22.5" customHeight="1" x14ac:dyDescent="0.25">
      <c r="A78" s="8">
        <v>77</v>
      </c>
      <c r="B78" s="9">
        <v>46028</v>
      </c>
      <c r="C78" s="10">
        <v>0.85416666666666663</v>
      </c>
      <c r="D78" s="11" t="s">
        <v>280</v>
      </c>
      <c r="E78" s="11" t="s">
        <v>333</v>
      </c>
      <c r="F78" s="11" t="s">
        <v>281</v>
      </c>
      <c r="G78" s="11" t="s">
        <v>235</v>
      </c>
      <c r="H78" s="11" t="s">
        <v>303</v>
      </c>
      <c r="I78" s="11" t="s">
        <v>304</v>
      </c>
      <c r="J78" s="11" t="s">
        <v>110</v>
      </c>
      <c r="K78" s="11" t="s">
        <v>65</v>
      </c>
      <c r="L78" s="11">
        <v>32</v>
      </c>
      <c r="M78" s="11" t="s">
        <v>381</v>
      </c>
      <c r="N78" s="11" t="s">
        <v>34</v>
      </c>
      <c r="O78" s="11">
        <v>260</v>
      </c>
      <c r="P78" s="11">
        <v>280</v>
      </c>
      <c r="Q78" s="46" t="s">
        <v>389</v>
      </c>
      <c r="R78" s="44" t="s">
        <v>390</v>
      </c>
      <c r="S78" s="11" t="s">
        <v>179</v>
      </c>
      <c r="T78" s="11" t="s">
        <v>40</v>
      </c>
      <c r="U78" s="11" t="s">
        <v>326</v>
      </c>
      <c r="V78" s="11" t="s">
        <v>40</v>
      </c>
      <c r="W78" s="11" t="s">
        <v>80</v>
      </c>
      <c r="X78" s="46"/>
      <c r="Y78" s="11" t="s">
        <v>388</v>
      </c>
      <c r="Z78" s="11" t="s">
        <v>72</v>
      </c>
      <c r="AA78" s="11">
        <v>0</v>
      </c>
      <c r="AB78" s="11">
        <v>0</v>
      </c>
      <c r="AC78" s="12">
        <v>34001.440000000002</v>
      </c>
      <c r="AD78" s="12">
        <v>0</v>
      </c>
      <c r="AE78" s="12">
        <v>0</v>
      </c>
      <c r="AF78" s="46"/>
    </row>
    <row r="79" spans="1:32" ht="22.5" customHeight="1" x14ac:dyDescent="0.25">
      <c r="A79" s="8">
        <v>78</v>
      </c>
      <c r="B79" s="9">
        <v>46029</v>
      </c>
      <c r="C79" s="10">
        <v>9.375E-2</v>
      </c>
      <c r="D79" s="11" t="s">
        <v>370</v>
      </c>
      <c r="E79" s="11" t="s">
        <v>295</v>
      </c>
      <c r="F79" s="11" t="s">
        <v>371</v>
      </c>
      <c r="G79" s="11" t="s">
        <v>372</v>
      </c>
      <c r="H79" s="11" t="s">
        <v>373</v>
      </c>
      <c r="I79" s="11" t="s">
        <v>374</v>
      </c>
      <c r="J79" s="11" t="s">
        <v>110</v>
      </c>
      <c r="K79" s="11" t="s">
        <v>65</v>
      </c>
      <c r="L79" s="11">
        <v>33</v>
      </c>
      <c r="M79" s="11" t="s">
        <v>318</v>
      </c>
      <c r="N79" s="11" t="s">
        <v>391</v>
      </c>
      <c r="O79" s="11">
        <v>8</v>
      </c>
      <c r="P79" s="11">
        <v>15</v>
      </c>
      <c r="Q79" s="46" t="s">
        <v>392</v>
      </c>
      <c r="R79" s="44" t="s">
        <v>393</v>
      </c>
      <c r="S79" s="11" t="s">
        <v>377</v>
      </c>
      <c r="T79" s="11" t="s">
        <v>40</v>
      </c>
      <c r="U79" s="11" t="s">
        <v>326</v>
      </c>
      <c r="V79" s="11" t="s">
        <v>40</v>
      </c>
      <c r="W79" s="11" t="s">
        <v>40</v>
      </c>
      <c r="X79" s="46" t="s">
        <v>42</v>
      </c>
      <c r="Y79" s="11" t="s">
        <v>388</v>
      </c>
      <c r="Z79" s="11" t="s">
        <v>72</v>
      </c>
      <c r="AA79" s="11">
        <v>0</v>
      </c>
      <c r="AB79" s="11">
        <v>100</v>
      </c>
      <c r="AC79" s="25">
        <v>34001.440000000002</v>
      </c>
      <c r="AD79" s="12">
        <v>0</v>
      </c>
      <c r="AE79" s="12">
        <v>0</v>
      </c>
      <c r="AF79" s="46"/>
    </row>
    <row r="80" spans="1:32" ht="22.5" customHeight="1" x14ac:dyDescent="0.25">
      <c r="A80" s="8">
        <v>79</v>
      </c>
      <c r="B80" s="9">
        <v>46029</v>
      </c>
      <c r="C80" s="10">
        <v>0.45833333333333331</v>
      </c>
      <c r="D80" s="11" t="s">
        <v>394</v>
      </c>
      <c r="E80" s="11" t="s">
        <v>45</v>
      </c>
      <c r="F80" s="11" t="s">
        <v>395</v>
      </c>
      <c r="G80" s="11" t="s">
        <v>28</v>
      </c>
      <c r="H80" s="11" t="s">
        <v>396</v>
      </c>
      <c r="I80" s="11" t="s">
        <v>102</v>
      </c>
      <c r="J80" s="11" t="s">
        <v>110</v>
      </c>
      <c r="K80" s="11" t="s">
        <v>65</v>
      </c>
      <c r="L80" s="11">
        <v>32</v>
      </c>
      <c r="M80" s="11" t="s">
        <v>366</v>
      </c>
      <c r="N80" s="11" t="s">
        <v>391</v>
      </c>
      <c r="O80" s="11">
        <v>15</v>
      </c>
      <c r="P80" s="11">
        <v>32</v>
      </c>
      <c r="Q80" s="46" t="s">
        <v>397</v>
      </c>
      <c r="R80" s="44" t="s">
        <v>398</v>
      </c>
      <c r="S80" s="11" t="s">
        <v>28</v>
      </c>
      <c r="T80" s="11" t="s">
        <v>40</v>
      </c>
      <c r="U80" s="11" t="s">
        <v>326</v>
      </c>
      <c r="V80" s="11" t="s">
        <v>40</v>
      </c>
      <c r="W80" s="11" t="s">
        <v>40</v>
      </c>
      <c r="X80" s="46" t="s">
        <v>399</v>
      </c>
      <c r="Y80" s="11" t="s">
        <v>317</v>
      </c>
      <c r="Z80" s="11" t="s">
        <v>59</v>
      </c>
      <c r="AA80" s="11">
        <v>31.19</v>
      </c>
      <c r="AB80" s="11">
        <v>0</v>
      </c>
      <c r="AC80" s="12">
        <v>120546.59</v>
      </c>
      <c r="AD80" s="12">
        <v>0</v>
      </c>
      <c r="AE80" s="12">
        <v>0</v>
      </c>
      <c r="AF80" s="46"/>
    </row>
    <row r="81" spans="1:32" ht="22.5" customHeight="1" x14ac:dyDescent="0.25">
      <c r="A81" s="8">
        <v>80</v>
      </c>
      <c r="B81" s="9">
        <v>46029</v>
      </c>
      <c r="C81" s="10">
        <v>9.375E-2</v>
      </c>
      <c r="D81" s="11" t="s">
        <v>370</v>
      </c>
      <c r="E81" s="11" t="s">
        <v>295</v>
      </c>
      <c r="F81" s="11" t="s">
        <v>371</v>
      </c>
      <c r="G81" s="11" t="s">
        <v>372</v>
      </c>
      <c r="H81" s="11" t="s">
        <v>396</v>
      </c>
      <c r="I81" s="11" t="s">
        <v>30</v>
      </c>
      <c r="J81" s="11" t="s">
        <v>110</v>
      </c>
      <c r="K81" s="11" t="s">
        <v>65</v>
      </c>
      <c r="L81" s="11">
        <v>33</v>
      </c>
      <c r="M81" s="11" t="s">
        <v>366</v>
      </c>
      <c r="N81" s="11" t="s">
        <v>400</v>
      </c>
      <c r="O81" s="11">
        <v>20</v>
      </c>
      <c r="P81" s="11">
        <v>27</v>
      </c>
      <c r="Q81" s="46" t="s">
        <v>401</v>
      </c>
      <c r="R81" s="44" t="s">
        <v>402</v>
      </c>
      <c r="S81" s="11" t="s">
        <v>377</v>
      </c>
      <c r="T81" s="11" t="s">
        <v>40</v>
      </c>
      <c r="U81" s="11" t="s">
        <v>403</v>
      </c>
      <c r="V81" s="11" t="s">
        <v>80</v>
      </c>
      <c r="W81" s="11" t="s">
        <v>80</v>
      </c>
      <c r="X81" s="46" t="s">
        <v>247</v>
      </c>
      <c r="Y81" s="11" t="s">
        <v>404</v>
      </c>
      <c r="Z81" s="11" t="s">
        <v>59</v>
      </c>
      <c r="AA81" s="11">
        <v>0</v>
      </c>
      <c r="AB81" s="11">
        <v>0</v>
      </c>
      <c r="AC81" s="12">
        <v>120546.59</v>
      </c>
      <c r="AD81" s="12">
        <v>0</v>
      </c>
      <c r="AE81" s="12">
        <v>0</v>
      </c>
      <c r="AF81" s="46"/>
    </row>
    <row r="82" spans="1:32" ht="22.5" customHeight="1" x14ac:dyDescent="0.25">
      <c r="A82" s="8">
        <v>81</v>
      </c>
      <c r="B82" s="9">
        <v>46029</v>
      </c>
      <c r="C82" s="10">
        <v>0.75694444444444442</v>
      </c>
      <c r="D82" s="11" t="s">
        <v>280</v>
      </c>
      <c r="E82" s="11" t="s">
        <v>333</v>
      </c>
      <c r="F82" s="11" t="s">
        <v>281</v>
      </c>
      <c r="G82" s="11" t="s">
        <v>235</v>
      </c>
      <c r="H82" s="11" t="s">
        <v>303</v>
      </c>
      <c r="I82" s="11" t="s">
        <v>304</v>
      </c>
      <c r="J82" s="11" t="s">
        <v>110</v>
      </c>
      <c r="K82" s="11" t="s">
        <v>65</v>
      </c>
      <c r="L82" s="11">
        <v>32</v>
      </c>
      <c r="M82" s="11" t="s">
        <v>381</v>
      </c>
      <c r="N82" s="11" t="s">
        <v>34</v>
      </c>
      <c r="O82" s="11">
        <v>210</v>
      </c>
      <c r="P82" s="11">
        <v>230</v>
      </c>
      <c r="Q82" s="46" t="s">
        <v>405</v>
      </c>
      <c r="R82" s="44" t="s">
        <v>406</v>
      </c>
      <c r="S82" s="11" t="s">
        <v>179</v>
      </c>
      <c r="T82" s="11" t="s">
        <v>40</v>
      </c>
      <c r="U82" s="11" t="s">
        <v>326</v>
      </c>
      <c r="V82" s="11" t="s">
        <v>40</v>
      </c>
      <c r="W82" s="11" t="s">
        <v>40</v>
      </c>
      <c r="X82" s="46" t="s">
        <v>42</v>
      </c>
      <c r="Y82" s="11" t="s">
        <v>388</v>
      </c>
      <c r="Z82" s="11" t="s">
        <v>72</v>
      </c>
      <c r="AA82" s="11">
        <v>0</v>
      </c>
      <c r="AB82" s="11">
        <v>0</v>
      </c>
      <c r="AC82" s="12">
        <v>34001.440000000002</v>
      </c>
      <c r="AD82" s="12">
        <v>0</v>
      </c>
      <c r="AE82" s="12">
        <v>0</v>
      </c>
      <c r="AF82" s="46"/>
    </row>
    <row r="83" spans="1:32" ht="22.5" customHeight="1" x14ac:dyDescent="0.25">
      <c r="A83" s="8">
        <v>82</v>
      </c>
      <c r="B83" s="9">
        <v>46029</v>
      </c>
      <c r="C83" s="10">
        <v>0.90277777777777779</v>
      </c>
      <c r="D83" s="11" t="s">
        <v>310</v>
      </c>
      <c r="E83" s="11" t="s">
        <v>45</v>
      </c>
      <c r="F83" s="11" t="s">
        <v>311</v>
      </c>
      <c r="G83" s="11" t="s">
        <v>101</v>
      </c>
      <c r="H83" s="11" t="s">
        <v>29</v>
      </c>
      <c r="I83" s="11" t="s">
        <v>30</v>
      </c>
      <c r="J83" s="11" t="s">
        <v>31</v>
      </c>
      <c r="K83" s="11" t="s">
        <v>65</v>
      </c>
      <c r="L83" s="11">
        <v>39</v>
      </c>
      <c r="M83" s="11" t="s">
        <v>407</v>
      </c>
      <c r="N83" s="11" t="s">
        <v>408</v>
      </c>
      <c r="O83" s="11">
        <v>20</v>
      </c>
      <c r="P83" s="11">
        <v>10</v>
      </c>
      <c r="Q83" s="46" t="s">
        <v>409</v>
      </c>
      <c r="R83" s="44" t="s">
        <v>410</v>
      </c>
      <c r="S83" s="11" t="s">
        <v>101</v>
      </c>
      <c r="T83" s="11" t="s">
        <v>40</v>
      </c>
      <c r="U83" s="11" t="s">
        <v>326</v>
      </c>
      <c r="V83" s="11" t="s">
        <v>40</v>
      </c>
      <c r="W83" s="11" t="s">
        <v>40</v>
      </c>
      <c r="X83" s="46" t="s">
        <v>42</v>
      </c>
      <c r="Y83" s="11" t="s">
        <v>388</v>
      </c>
      <c r="Z83" s="11" t="s">
        <v>72</v>
      </c>
      <c r="AA83" s="11">
        <v>6.86</v>
      </c>
      <c r="AB83" s="11">
        <v>0</v>
      </c>
      <c r="AC83" s="12">
        <v>120546.59</v>
      </c>
      <c r="AD83" s="12">
        <v>0</v>
      </c>
      <c r="AE83" s="12">
        <v>0</v>
      </c>
      <c r="AF83" s="46"/>
    </row>
    <row r="84" spans="1:32" ht="22.5" customHeight="1" x14ac:dyDescent="0.25">
      <c r="A84" s="8">
        <v>83</v>
      </c>
      <c r="B84" s="9">
        <v>46029</v>
      </c>
      <c r="C84" s="10">
        <v>0.95138888888888884</v>
      </c>
      <c r="D84" s="11" t="s">
        <v>310</v>
      </c>
      <c r="E84" s="11" t="s">
        <v>45</v>
      </c>
      <c r="F84" s="11" t="s">
        <v>311</v>
      </c>
      <c r="G84" s="11" t="s">
        <v>101</v>
      </c>
      <c r="H84" s="11" t="s">
        <v>29</v>
      </c>
      <c r="I84" s="11" t="s">
        <v>30</v>
      </c>
      <c r="J84" s="11" t="s">
        <v>110</v>
      </c>
      <c r="K84" s="11" t="s">
        <v>65</v>
      </c>
      <c r="L84" s="11">
        <v>40</v>
      </c>
      <c r="M84" s="11" t="s">
        <v>318</v>
      </c>
      <c r="N84" s="11" t="s">
        <v>391</v>
      </c>
      <c r="O84" s="11">
        <v>5</v>
      </c>
      <c r="P84" s="11">
        <v>14</v>
      </c>
      <c r="Q84" s="46" t="s">
        <v>411</v>
      </c>
      <c r="R84" s="44" t="s">
        <v>412</v>
      </c>
      <c r="S84" s="11" t="s">
        <v>101</v>
      </c>
      <c r="T84" s="11" t="s">
        <v>40</v>
      </c>
      <c r="U84" s="11" t="s">
        <v>326</v>
      </c>
      <c r="V84" s="11" t="s">
        <v>40</v>
      </c>
      <c r="W84" s="11" t="s">
        <v>40</v>
      </c>
      <c r="X84" s="46" t="s">
        <v>42</v>
      </c>
      <c r="Y84" s="11" t="s">
        <v>388</v>
      </c>
      <c r="Z84" s="11" t="s">
        <v>72</v>
      </c>
      <c r="AA84" s="11">
        <v>41.8</v>
      </c>
      <c r="AB84" s="11">
        <v>0</v>
      </c>
      <c r="AC84" s="12">
        <v>120546.59</v>
      </c>
      <c r="AD84" s="12">
        <v>0</v>
      </c>
      <c r="AE84" s="12">
        <v>0</v>
      </c>
      <c r="AF84" s="46"/>
    </row>
    <row r="85" spans="1:32" ht="22.5" customHeight="1" x14ac:dyDescent="0.25">
      <c r="A85" s="8">
        <v>84</v>
      </c>
      <c r="B85" s="9">
        <v>46030</v>
      </c>
      <c r="C85" s="10">
        <v>0.95833333333333337</v>
      </c>
      <c r="D85" s="11" t="s">
        <v>394</v>
      </c>
      <c r="E85" s="11" t="s">
        <v>45</v>
      </c>
      <c r="F85" s="11" t="s">
        <v>395</v>
      </c>
      <c r="G85" s="11" t="s">
        <v>28</v>
      </c>
      <c r="H85" s="11" t="s">
        <v>396</v>
      </c>
      <c r="I85" s="11" t="s">
        <v>102</v>
      </c>
      <c r="J85" s="11" t="s">
        <v>110</v>
      </c>
      <c r="K85" s="11" t="s">
        <v>65</v>
      </c>
      <c r="L85" s="11">
        <v>41</v>
      </c>
      <c r="M85" s="11" t="s">
        <v>318</v>
      </c>
      <c r="N85" s="11" t="s">
        <v>223</v>
      </c>
      <c r="O85" s="11">
        <v>3000</v>
      </c>
      <c r="P85" s="11">
        <v>2050</v>
      </c>
      <c r="Q85" s="46" t="s">
        <v>413</v>
      </c>
      <c r="R85" s="44" t="s">
        <v>414</v>
      </c>
      <c r="S85" s="11" t="s">
        <v>28</v>
      </c>
      <c r="T85" s="11" t="s">
        <v>40</v>
      </c>
      <c r="U85" s="11" t="s">
        <v>326</v>
      </c>
      <c r="V85" s="11" t="s">
        <v>40</v>
      </c>
      <c r="W85" s="11" t="s">
        <v>40</v>
      </c>
      <c r="X85" s="46" t="s">
        <v>42</v>
      </c>
      <c r="Y85" s="11" t="s">
        <v>388</v>
      </c>
      <c r="Z85" s="11" t="s">
        <v>72</v>
      </c>
      <c r="AA85" s="11">
        <v>0</v>
      </c>
      <c r="AB85" s="11">
        <v>2.5</v>
      </c>
      <c r="AC85" s="12">
        <v>120546.59</v>
      </c>
      <c r="AD85" s="12">
        <v>0</v>
      </c>
      <c r="AE85" s="12">
        <v>0</v>
      </c>
      <c r="AF85" s="46"/>
    </row>
    <row r="86" spans="1:32" ht="22.5" customHeight="1" x14ac:dyDescent="0.25">
      <c r="A86" s="8">
        <v>85</v>
      </c>
      <c r="B86" s="9">
        <v>46029</v>
      </c>
      <c r="C86" s="10">
        <v>0.75</v>
      </c>
      <c r="D86" s="11" t="s">
        <v>394</v>
      </c>
      <c r="E86" s="11" t="s">
        <v>45</v>
      </c>
      <c r="F86" s="11" t="s">
        <v>395</v>
      </c>
      <c r="G86" s="11" t="s">
        <v>28</v>
      </c>
      <c r="H86" s="11" t="s">
        <v>396</v>
      </c>
      <c r="I86" s="11" t="s">
        <v>102</v>
      </c>
      <c r="J86" s="11" t="s">
        <v>64</v>
      </c>
      <c r="K86" s="11" t="s">
        <v>65</v>
      </c>
      <c r="L86" s="11">
        <v>42</v>
      </c>
      <c r="M86" s="11" t="s">
        <v>415</v>
      </c>
      <c r="N86" s="11" t="s">
        <v>416</v>
      </c>
      <c r="O86" s="13">
        <v>0.22</v>
      </c>
      <c r="P86" s="11">
        <v>0</v>
      </c>
      <c r="Q86" s="46" t="s">
        <v>417</v>
      </c>
      <c r="R86" s="44" t="s">
        <v>418</v>
      </c>
      <c r="S86" s="11" t="s">
        <v>28</v>
      </c>
      <c r="T86" s="11" t="s">
        <v>40</v>
      </c>
      <c r="U86" s="11" t="s">
        <v>326</v>
      </c>
      <c r="V86" s="11" t="s">
        <v>40</v>
      </c>
      <c r="W86" s="11" t="s">
        <v>40</v>
      </c>
      <c r="X86" s="46" t="s">
        <v>42</v>
      </c>
      <c r="Y86" s="11" t="s">
        <v>317</v>
      </c>
      <c r="Z86" s="11" t="s">
        <v>59</v>
      </c>
      <c r="AA86" s="11">
        <v>0</v>
      </c>
      <c r="AB86" s="11">
        <v>0</v>
      </c>
      <c r="AC86" s="12">
        <v>120546.59</v>
      </c>
      <c r="AD86" s="12">
        <v>0</v>
      </c>
      <c r="AE86" s="12">
        <v>0</v>
      </c>
      <c r="AF86" s="46"/>
    </row>
    <row r="87" spans="1:32" ht="22.5" customHeight="1" x14ac:dyDescent="0.25">
      <c r="A87" s="8">
        <v>86</v>
      </c>
      <c r="B87" s="9">
        <v>46031</v>
      </c>
      <c r="C87" s="10">
        <v>0.5</v>
      </c>
      <c r="D87" s="11" t="s">
        <v>280</v>
      </c>
      <c r="E87" s="11" t="s">
        <v>333</v>
      </c>
      <c r="F87" s="11" t="s">
        <v>281</v>
      </c>
      <c r="G87" s="11" t="s">
        <v>235</v>
      </c>
      <c r="H87" s="11" t="s">
        <v>303</v>
      </c>
      <c r="I87" s="11" t="s">
        <v>304</v>
      </c>
      <c r="J87" s="11" t="s">
        <v>64</v>
      </c>
      <c r="K87" s="11" t="s">
        <v>65</v>
      </c>
      <c r="L87" s="11">
        <v>43</v>
      </c>
      <c r="M87" s="11" t="s">
        <v>415</v>
      </c>
      <c r="N87" s="11" t="s">
        <v>419</v>
      </c>
      <c r="O87" s="11">
        <v>251</v>
      </c>
      <c r="P87" s="11">
        <v>257</v>
      </c>
      <c r="Q87" s="46" t="s">
        <v>420</v>
      </c>
      <c r="R87" s="44" t="s">
        <v>421</v>
      </c>
      <c r="S87" s="11" t="s">
        <v>169</v>
      </c>
      <c r="T87" s="11" t="s">
        <v>40</v>
      </c>
      <c r="U87" s="11" t="s">
        <v>326</v>
      </c>
      <c r="V87" s="11" t="s">
        <v>40</v>
      </c>
      <c r="W87" s="11" t="s">
        <v>40</v>
      </c>
      <c r="X87" s="46" t="s">
        <v>42</v>
      </c>
      <c r="Y87" s="11" t="s">
        <v>317</v>
      </c>
      <c r="Z87" s="11" t="s">
        <v>59</v>
      </c>
      <c r="AA87" s="11">
        <v>0</v>
      </c>
      <c r="AB87" s="11">
        <v>0</v>
      </c>
      <c r="AC87" s="12">
        <v>34001.440000000002</v>
      </c>
      <c r="AD87" s="12">
        <v>0</v>
      </c>
      <c r="AE87" s="12">
        <v>0</v>
      </c>
      <c r="AF87" s="46"/>
    </row>
    <row r="88" spans="1:32" ht="22.5" customHeight="1" x14ac:dyDescent="0.25">
      <c r="A88" s="8">
        <v>87</v>
      </c>
      <c r="B88" s="9">
        <v>46031</v>
      </c>
      <c r="C88" s="10">
        <v>0.97569444444444442</v>
      </c>
      <c r="D88" s="11" t="s">
        <v>394</v>
      </c>
      <c r="E88" s="11" t="s">
        <v>45</v>
      </c>
      <c r="F88" s="11" t="s">
        <v>395</v>
      </c>
      <c r="G88" s="11" t="s">
        <v>28</v>
      </c>
      <c r="H88" s="11" t="s">
        <v>396</v>
      </c>
      <c r="I88" s="11" t="s">
        <v>102</v>
      </c>
      <c r="J88" s="11" t="s">
        <v>110</v>
      </c>
      <c r="K88" s="11" t="s">
        <v>65</v>
      </c>
      <c r="L88" s="11">
        <v>44</v>
      </c>
      <c r="M88" s="11" t="s">
        <v>415</v>
      </c>
      <c r="N88" s="11" t="s">
        <v>34</v>
      </c>
      <c r="O88" s="11">
        <v>250</v>
      </c>
      <c r="P88" s="11">
        <v>230</v>
      </c>
      <c r="Q88" s="46" t="s">
        <v>422</v>
      </c>
      <c r="R88" s="44" t="s">
        <v>423</v>
      </c>
      <c r="S88" s="11" t="s">
        <v>28</v>
      </c>
      <c r="T88" s="11" t="s">
        <v>40</v>
      </c>
      <c r="U88" s="11" t="s">
        <v>326</v>
      </c>
      <c r="V88" s="11" t="s">
        <v>40</v>
      </c>
      <c r="W88" s="11" t="s">
        <v>40</v>
      </c>
      <c r="X88" s="46" t="s">
        <v>42</v>
      </c>
      <c r="Y88" s="11" t="s">
        <v>388</v>
      </c>
      <c r="Z88" s="11" t="s">
        <v>72</v>
      </c>
      <c r="AA88" s="11">
        <v>0</v>
      </c>
      <c r="AB88" s="11">
        <v>0.5</v>
      </c>
      <c r="AC88" s="12">
        <v>120546.59</v>
      </c>
      <c r="AD88" s="12">
        <v>0</v>
      </c>
      <c r="AE88" s="12">
        <v>0</v>
      </c>
      <c r="AF88" s="46"/>
    </row>
    <row r="89" spans="1:32" ht="22.5" customHeight="1" x14ac:dyDescent="0.25">
      <c r="A89" s="8">
        <v>88</v>
      </c>
      <c r="B89" s="9">
        <v>46031</v>
      </c>
      <c r="C89" s="10">
        <v>0.97569444444444442</v>
      </c>
      <c r="D89" s="11" t="s">
        <v>394</v>
      </c>
      <c r="E89" s="11" t="s">
        <v>45</v>
      </c>
      <c r="F89" s="11" t="s">
        <v>395</v>
      </c>
      <c r="G89" s="11" t="s">
        <v>28</v>
      </c>
      <c r="H89" s="11" t="s">
        <v>396</v>
      </c>
      <c r="I89" s="11" t="s">
        <v>102</v>
      </c>
      <c r="J89" s="11" t="s">
        <v>110</v>
      </c>
      <c r="K89" s="11" t="s">
        <v>65</v>
      </c>
      <c r="L89" s="11">
        <v>44</v>
      </c>
      <c r="M89" s="11" t="s">
        <v>415</v>
      </c>
      <c r="N89" s="11" t="s">
        <v>34</v>
      </c>
      <c r="O89" s="11">
        <v>310</v>
      </c>
      <c r="P89" s="11">
        <v>330</v>
      </c>
      <c r="Q89" s="46" t="s">
        <v>424</v>
      </c>
      <c r="R89" s="44" t="s">
        <v>425</v>
      </c>
      <c r="S89" s="11" t="s">
        <v>28</v>
      </c>
      <c r="T89" s="11" t="s">
        <v>40</v>
      </c>
      <c r="U89" s="11" t="s">
        <v>326</v>
      </c>
      <c r="V89" s="11" t="s">
        <v>40</v>
      </c>
      <c r="W89" s="11" t="s">
        <v>80</v>
      </c>
      <c r="X89" s="46" t="s">
        <v>426</v>
      </c>
      <c r="Y89" s="11" t="s">
        <v>388</v>
      </c>
      <c r="Z89" s="11" t="s">
        <v>72</v>
      </c>
      <c r="AA89" s="11">
        <v>0</v>
      </c>
      <c r="AB89" s="11">
        <v>0</v>
      </c>
      <c r="AC89" s="12">
        <v>120546.59</v>
      </c>
      <c r="AD89" s="12">
        <v>0</v>
      </c>
      <c r="AE89" s="12">
        <v>0</v>
      </c>
      <c r="AF89" s="46"/>
    </row>
    <row r="90" spans="1:32" ht="22.5" customHeight="1" x14ac:dyDescent="0.25">
      <c r="A90" s="8">
        <v>89</v>
      </c>
      <c r="B90" s="9">
        <v>46032</v>
      </c>
      <c r="C90" s="10">
        <v>0.97569444444444442</v>
      </c>
      <c r="D90" s="11" t="s">
        <v>394</v>
      </c>
      <c r="E90" s="11" t="s">
        <v>45</v>
      </c>
      <c r="F90" s="11" t="s">
        <v>395</v>
      </c>
      <c r="G90" s="11" t="s">
        <v>28</v>
      </c>
      <c r="H90" s="11" t="s">
        <v>396</v>
      </c>
      <c r="I90" s="11" t="s">
        <v>102</v>
      </c>
      <c r="J90" s="11" t="s">
        <v>110</v>
      </c>
      <c r="K90" s="11" t="s">
        <v>65</v>
      </c>
      <c r="L90" s="11">
        <v>45</v>
      </c>
      <c r="M90" s="11" t="s">
        <v>415</v>
      </c>
      <c r="N90" s="11" t="s">
        <v>34</v>
      </c>
      <c r="O90" s="11">
        <v>310</v>
      </c>
      <c r="P90" s="11">
        <v>330</v>
      </c>
      <c r="Q90" s="46" t="s">
        <v>427</v>
      </c>
      <c r="R90" s="44" t="s">
        <v>428</v>
      </c>
      <c r="S90" s="11" t="s">
        <v>28</v>
      </c>
      <c r="T90" s="11" t="s">
        <v>40</v>
      </c>
      <c r="U90" s="11" t="s">
        <v>326</v>
      </c>
      <c r="V90" s="11" t="s">
        <v>40</v>
      </c>
      <c r="W90" s="11" t="s">
        <v>40</v>
      </c>
      <c r="X90" s="46" t="s">
        <v>42</v>
      </c>
      <c r="Y90" s="11" t="s">
        <v>317</v>
      </c>
      <c r="Z90" s="11" t="s">
        <v>59</v>
      </c>
      <c r="AA90" s="11">
        <v>0</v>
      </c>
      <c r="AB90" s="11">
        <v>2.5</v>
      </c>
      <c r="AC90" s="12">
        <v>120546.59</v>
      </c>
      <c r="AD90" s="12">
        <v>0</v>
      </c>
      <c r="AE90" s="12">
        <v>0</v>
      </c>
      <c r="AF90" s="46"/>
    </row>
    <row r="91" spans="1:32" ht="22.5" customHeight="1" x14ac:dyDescent="0.25">
      <c r="A91" s="8">
        <v>90</v>
      </c>
      <c r="B91" s="9">
        <v>46032</v>
      </c>
      <c r="C91" s="10">
        <v>0.6166666666666667</v>
      </c>
      <c r="D91" s="11" t="s">
        <v>46</v>
      </c>
      <c r="E91" s="11" t="s">
        <v>60</v>
      </c>
      <c r="F91" s="11" t="s">
        <v>47</v>
      </c>
      <c r="G91" s="11" t="s">
        <v>429</v>
      </c>
      <c r="H91" s="11" t="s">
        <v>49</v>
      </c>
      <c r="I91" s="11" t="s">
        <v>50</v>
      </c>
      <c r="J91" s="11" t="s">
        <v>92</v>
      </c>
      <c r="K91" s="11" t="s">
        <v>65</v>
      </c>
      <c r="L91" s="11">
        <v>46</v>
      </c>
      <c r="M91" s="11" t="s">
        <v>430</v>
      </c>
      <c r="N91" s="11" t="s">
        <v>431</v>
      </c>
      <c r="O91" s="11">
        <v>1800</v>
      </c>
      <c r="P91" s="11">
        <v>2100</v>
      </c>
      <c r="Q91" s="46" t="s">
        <v>432</v>
      </c>
      <c r="R91" s="44" t="s">
        <v>433</v>
      </c>
      <c r="S91" s="11" t="s">
        <v>434</v>
      </c>
      <c r="T91" s="11" t="s">
        <v>80</v>
      </c>
      <c r="U91" s="11" t="s">
        <v>435</v>
      </c>
      <c r="V91" s="11" t="s">
        <v>80</v>
      </c>
      <c r="W91" s="11" t="s">
        <v>80</v>
      </c>
      <c r="X91" s="46"/>
      <c r="Y91" s="11" t="s">
        <v>436</v>
      </c>
      <c r="Z91" s="11" t="s">
        <v>59</v>
      </c>
      <c r="AA91" s="11">
        <v>0</v>
      </c>
      <c r="AB91" s="11">
        <v>0</v>
      </c>
      <c r="AC91" s="12">
        <v>44717.22</v>
      </c>
      <c r="AD91" s="12">
        <f>AA91/24*AC91</f>
        <v>0</v>
      </c>
      <c r="AE91" s="12">
        <f>AB91/24*AC91</f>
        <v>0</v>
      </c>
      <c r="AF91" s="46"/>
    </row>
    <row r="92" spans="1:32" ht="22.5" customHeight="1" x14ac:dyDescent="0.25">
      <c r="A92" s="8">
        <v>91</v>
      </c>
      <c r="B92" s="9">
        <v>46032</v>
      </c>
      <c r="C92" s="10">
        <v>0.9375</v>
      </c>
      <c r="D92" s="11" t="s">
        <v>437</v>
      </c>
      <c r="E92" s="11" t="s">
        <v>73</v>
      </c>
      <c r="F92" s="11" t="s">
        <v>438</v>
      </c>
      <c r="G92" s="11" t="s">
        <v>179</v>
      </c>
      <c r="H92" s="11" t="s">
        <v>396</v>
      </c>
      <c r="I92" s="11" t="s">
        <v>439</v>
      </c>
      <c r="J92" s="11" t="s">
        <v>110</v>
      </c>
      <c r="K92" s="11" t="s">
        <v>32</v>
      </c>
      <c r="L92" s="11">
        <v>47</v>
      </c>
      <c r="M92" s="11" t="s">
        <v>381</v>
      </c>
      <c r="N92" s="11" t="s">
        <v>165</v>
      </c>
      <c r="O92" s="11">
        <v>10</v>
      </c>
      <c r="P92" s="11">
        <v>0</v>
      </c>
      <c r="Q92" s="46" t="s">
        <v>440</v>
      </c>
      <c r="R92" s="44" t="s">
        <v>441</v>
      </c>
      <c r="S92" s="11" t="s">
        <v>179</v>
      </c>
      <c r="T92" s="11" t="s">
        <v>40</v>
      </c>
      <c r="U92" s="11" t="s">
        <v>326</v>
      </c>
      <c r="V92" s="11" t="s">
        <v>40</v>
      </c>
      <c r="W92" s="11" t="s">
        <v>80</v>
      </c>
      <c r="X92" s="46" t="s">
        <v>177</v>
      </c>
      <c r="Y92" s="11" t="s">
        <v>388</v>
      </c>
      <c r="Z92" s="11" t="s">
        <v>72</v>
      </c>
      <c r="AA92" s="11">
        <v>0</v>
      </c>
      <c r="AB92" s="11">
        <v>0</v>
      </c>
      <c r="AC92" s="12">
        <v>34001.440000000002</v>
      </c>
      <c r="AD92" s="12">
        <v>0</v>
      </c>
      <c r="AE92" s="12">
        <v>0</v>
      </c>
      <c r="AF92" s="46"/>
    </row>
    <row r="93" spans="1:32" ht="22.5" customHeight="1" x14ac:dyDescent="0.25">
      <c r="A93" s="8">
        <v>92</v>
      </c>
      <c r="B93" s="9">
        <v>46033</v>
      </c>
      <c r="C93" s="10">
        <v>0.46875</v>
      </c>
      <c r="D93" s="11" t="s">
        <v>394</v>
      </c>
      <c r="E93" s="11" t="s">
        <v>45</v>
      </c>
      <c r="F93" s="11" t="s">
        <v>395</v>
      </c>
      <c r="G93" s="11" t="s">
        <v>28</v>
      </c>
      <c r="H93" s="11" t="s">
        <v>396</v>
      </c>
      <c r="I93" s="11" t="s">
        <v>102</v>
      </c>
      <c r="J93" s="11" t="s">
        <v>110</v>
      </c>
      <c r="K93" s="11" t="s">
        <v>65</v>
      </c>
      <c r="L93" s="11">
        <v>44</v>
      </c>
      <c r="M93" s="11" t="s">
        <v>415</v>
      </c>
      <c r="N93" s="11" t="s">
        <v>34</v>
      </c>
      <c r="O93" s="11">
        <v>310</v>
      </c>
      <c r="P93" s="11">
        <v>330</v>
      </c>
      <c r="Q93" s="46" t="s">
        <v>442</v>
      </c>
      <c r="R93" s="44" t="s">
        <v>247</v>
      </c>
      <c r="S93" s="11" t="s">
        <v>28</v>
      </c>
      <c r="T93" s="11" t="s">
        <v>40</v>
      </c>
      <c r="U93" s="11" t="s">
        <v>326</v>
      </c>
      <c r="V93" s="11" t="s">
        <v>40</v>
      </c>
      <c r="W93" s="11" t="s">
        <v>40</v>
      </c>
      <c r="X93" s="46"/>
      <c r="Y93" s="11" t="s">
        <v>317</v>
      </c>
      <c r="Z93" s="11" t="s">
        <v>59</v>
      </c>
      <c r="AA93" s="11">
        <v>0</v>
      </c>
      <c r="AB93" s="11">
        <v>0.5</v>
      </c>
      <c r="AC93" s="12">
        <v>120546.59</v>
      </c>
      <c r="AD93" s="12">
        <v>0</v>
      </c>
      <c r="AE93" s="12">
        <v>0</v>
      </c>
      <c r="AF93" s="46"/>
    </row>
    <row r="94" spans="1:32" ht="22.5" customHeight="1" x14ac:dyDescent="0.25">
      <c r="A94" s="8">
        <v>93</v>
      </c>
      <c r="B94" s="9">
        <v>46034</v>
      </c>
      <c r="C94" s="10">
        <v>2.7777777777777776E-2</v>
      </c>
      <c r="D94" s="11" t="s">
        <v>370</v>
      </c>
      <c r="E94" s="11" t="s">
        <v>295</v>
      </c>
      <c r="F94" s="11" t="s">
        <v>371</v>
      </c>
      <c r="G94" s="11" t="s">
        <v>372</v>
      </c>
      <c r="H94" s="11" t="s">
        <v>396</v>
      </c>
      <c r="I94" s="11" t="s">
        <v>30</v>
      </c>
      <c r="J94" s="11" t="s">
        <v>110</v>
      </c>
      <c r="K94" s="11" t="s">
        <v>65</v>
      </c>
      <c r="L94" s="11">
        <v>48</v>
      </c>
      <c r="M94" s="11" t="s">
        <v>381</v>
      </c>
      <c r="N94" s="11" t="s">
        <v>34</v>
      </c>
      <c r="O94" s="11">
        <v>200</v>
      </c>
      <c r="P94" s="11">
        <v>218</v>
      </c>
      <c r="Q94" s="46" t="s">
        <v>443</v>
      </c>
      <c r="R94" s="44" t="s">
        <v>444</v>
      </c>
      <c r="S94" s="11" t="s">
        <v>445</v>
      </c>
      <c r="T94" s="11" t="s">
        <v>80</v>
      </c>
      <c r="U94" s="11" t="s">
        <v>446</v>
      </c>
      <c r="V94" s="11" t="s">
        <v>80</v>
      </c>
      <c r="W94" s="11" t="s">
        <v>80</v>
      </c>
      <c r="X94" s="46"/>
      <c r="Y94" s="11" t="s">
        <v>146</v>
      </c>
      <c r="Z94" s="11" t="s">
        <v>72</v>
      </c>
      <c r="AA94" s="11">
        <v>0</v>
      </c>
      <c r="AB94" s="11">
        <v>0</v>
      </c>
      <c r="AC94" s="12">
        <v>120546.59</v>
      </c>
      <c r="AD94" s="12">
        <v>0</v>
      </c>
      <c r="AE94" s="12">
        <v>0</v>
      </c>
      <c r="AF94" s="46"/>
    </row>
    <row r="95" spans="1:32" ht="22.5" customHeight="1" x14ac:dyDescent="0.25">
      <c r="A95" s="8">
        <v>94</v>
      </c>
      <c r="B95" s="9">
        <v>46034</v>
      </c>
      <c r="C95" s="10">
        <v>0.77083333333333337</v>
      </c>
      <c r="D95" s="11" t="s">
        <v>310</v>
      </c>
      <c r="E95" s="11" t="s">
        <v>45</v>
      </c>
      <c r="F95" s="11" t="s">
        <v>311</v>
      </c>
      <c r="G95" s="11" t="s">
        <v>101</v>
      </c>
      <c r="H95" s="11" t="s">
        <v>29</v>
      </c>
      <c r="I95" s="11" t="s">
        <v>30</v>
      </c>
      <c r="J95" s="11" t="s">
        <v>110</v>
      </c>
      <c r="K95" s="11" t="s">
        <v>32</v>
      </c>
      <c r="L95" s="11">
        <v>49</v>
      </c>
      <c r="M95" s="11" t="s">
        <v>381</v>
      </c>
      <c r="N95" s="11" t="s">
        <v>34</v>
      </c>
      <c r="O95" s="11">
        <v>230</v>
      </c>
      <c r="P95" s="11">
        <v>250</v>
      </c>
      <c r="Q95" s="46" t="s">
        <v>447</v>
      </c>
      <c r="R95" s="44" t="s">
        <v>448</v>
      </c>
      <c r="S95" s="11" t="s">
        <v>101</v>
      </c>
      <c r="T95" s="11" t="s">
        <v>40</v>
      </c>
      <c r="U95" s="11" t="s">
        <v>326</v>
      </c>
      <c r="V95" s="11" t="s">
        <v>40</v>
      </c>
      <c r="W95" s="11" t="s">
        <v>40</v>
      </c>
      <c r="X95" s="46" t="s">
        <v>42</v>
      </c>
      <c r="Y95" s="11" t="s">
        <v>388</v>
      </c>
      <c r="Z95" s="11" t="s">
        <v>72</v>
      </c>
      <c r="AA95" s="11">
        <v>0</v>
      </c>
      <c r="AB95" s="11">
        <v>41.8</v>
      </c>
      <c r="AC95" s="12">
        <v>120546.59</v>
      </c>
      <c r="AD95" s="12">
        <v>0</v>
      </c>
      <c r="AE95" s="12">
        <v>0</v>
      </c>
      <c r="AF95" s="46"/>
    </row>
    <row r="96" spans="1:32" ht="22.5" customHeight="1" x14ac:dyDescent="0.25">
      <c r="A96" s="8">
        <v>95</v>
      </c>
      <c r="B96" s="9">
        <v>46034</v>
      </c>
      <c r="C96" s="10">
        <v>0.77083333333333337</v>
      </c>
      <c r="D96" s="11" t="s">
        <v>437</v>
      </c>
      <c r="E96" s="11" t="s">
        <v>73</v>
      </c>
      <c r="F96" s="11" t="s">
        <v>438</v>
      </c>
      <c r="G96" s="11" t="s">
        <v>179</v>
      </c>
      <c r="H96" s="11" t="s">
        <v>396</v>
      </c>
      <c r="I96" s="11" t="s">
        <v>439</v>
      </c>
      <c r="J96" s="11" t="s">
        <v>64</v>
      </c>
      <c r="K96" s="11" t="s">
        <v>32</v>
      </c>
      <c r="L96" s="11">
        <v>47</v>
      </c>
      <c r="M96" s="11" t="s">
        <v>381</v>
      </c>
      <c r="N96" s="11" t="s">
        <v>165</v>
      </c>
      <c r="O96" s="11">
        <v>10</v>
      </c>
      <c r="P96" s="11">
        <v>0</v>
      </c>
      <c r="Q96" s="46" t="s">
        <v>440</v>
      </c>
      <c r="R96" s="44" t="s">
        <v>441</v>
      </c>
      <c r="S96" s="11" t="s">
        <v>179</v>
      </c>
      <c r="T96" s="11" t="s">
        <v>40</v>
      </c>
      <c r="U96" s="11" t="s">
        <v>326</v>
      </c>
      <c r="V96" s="11" t="s">
        <v>40</v>
      </c>
      <c r="W96" s="11" t="s">
        <v>80</v>
      </c>
      <c r="X96" s="46" t="s">
        <v>177</v>
      </c>
      <c r="Y96" s="11" t="s">
        <v>388</v>
      </c>
      <c r="Z96" s="11" t="s">
        <v>72</v>
      </c>
      <c r="AA96" s="11">
        <v>0</v>
      </c>
      <c r="AB96" s="11">
        <v>0</v>
      </c>
      <c r="AC96" s="12">
        <v>34001.440000000002</v>
      </c>
      <c r="AD96" s="12">
        <v>0</v>
      </c>
      <c r="AE96" s="12">
        <v>0</v>
      </c>
      <c r="AF96" s="46"/>
    </row>
    <row r="97" spans="1:32" ht="22.5" customHeight="1" x14ac:dyDescent="0.25">
      <c r="A97" s="8">
        <v>96</v>
      </c>
      <c r="B97" s="9">
        <v>46034</v>
      </c>
      <c r="C97" s="10">
        <v>0.88541666666666663</v>
      </c>
      <c r="D97" s="11" t="s">
        <v>310</v>
      </c>
      <c r="E97" s="11" t="s">
        <v>45</v>
      </c>
      <c r="F97" s="11" t="s">
        <v>311</v>
      </c>
      <c r="G97" s="11" t="s">
        <v>101</v>
      </c>
      <c r="H97" s="11" t="s">
        <v>29</v>
      </c>
      <c r="I97" s="11" t="s">
        <v>30</v>
      </c>
      <c r="J97" s="11" t="s">
        <v>110</v>
      </c>
      <c r="K97" s="11" t="s">
        <v>32</v>
      </c>
      <c r="L97" s="11">
        <v>49</v>
      </c>
      <c r="M97" s="11" t="s">
        <v>381</v>
      </c>
      <c r="N97" s="11" t="s">
        <v>34</v>
      </c>
      <c r="O97" s="11">
        <v>230</v>
      </c>
      <c r="P97" s="11">
        <v>250</v>
      </c>
      <c r="Q97" s="46" t="s">
        <v>449</v>
      </c>
      <c r="R97" s="44" t="s">
        <v>450</v>
      </c>
      <c r="S97" s="11" t="s">
        <v>101</v>
      </c>
      <c r="T97" s="11" t="s">
        <v>40</v>
      </c>
      <c r="U97" s="11" t="s">
        <v>326</v>
      </c>
      <c r="V97" s="11" t="s">
        <v>40</v>
      </c>
      <c r="W97" s="11" t="s">
        <v>40</v>
      </c>
      <c r="X97" s="46" t="s">
        <v>42</v>
      </c>
      <c r="Y97" s="11" t="s">
        <v>388</v>
      </c>
      <c r="Z97" s="11" t="s">
        <v>72</v>
      </c>
      <c r="AA97" s="11">
        <v>0</v>
      </c>
      <c r="AB97" s="11">
        <v>0</v>
      </c>
      <c r="AC97" s="12">
        <v>120546.59</v>
      </c>
      <c r="AD97" s="12">
        <v>0</v>
      </c>
      <c r="AE97" s="12">
        <v>0</v>
      </c>
      <c r="AF97" s="46"/>
    </row>
    <row r="98" spans="1:32" ht="22.5" customHeight="1" x14ac:dyDescent="0.25">
      <c r="A98" s="8">
        <v>97</v>
      </c>
      <c r="B98" s="9">
        <v>46034</v>
      </c>
      <c r="C98" s="10">
        <v>0.11458333333333333</v>
      </c>
      <c r="D98" s="11" t="s">
        <v>394</v>
      </c>
      <c r="E98" s="11" t="s">
        <v>45</v>
      </c>
      <c r="F98" s="11" t="s">
        <v>395</v>
      </c>
      <c r="G98" s="11" t="s">
        <v>28</v>
      </c>
      <c r="H98" s="11" t="s">
        <v>396</v>
      </c>
      <c r="I98" s="11" t="s">
        <v>102</v>
      </c>
      <c r="J98" s="11" t="s">
        <v>110</v>
      </c>
      <c r="K98" s="11" t="s">
        <v>65</v>
      </c>
      <c r="L98" s="11">
        <v>44</v>
      </c>
      <c r="M98" s="11" t="s">
        <v>415</v>
      </c>
      <c r="N98" s="11" t="s">
        <v>34</v>
      </c>
      <c r="O98" s="11">
        <v>310</v>
      </c>
      <c r="P98" s="11">
        <v>330</v>
      </c>
      <c r="Q98" s="46" t="s">
        <v>442</v>
      </c>
      <c r="R98" s="44" t="s">
        <v>451</v>
      </c>
      <c r="S98" s="11" t="s">
        <v>28</v>
      </c>
      <c r="T98" s="11" t="s">
        <v>40</v>
      </c>
      <c r="U98" s="11" t="s">
        <v>326</v>
      </c>
      <c r="V98" s="11" t="s">
        <v>40</v>
      </c>
      <c r="W98" s="11" t="s">
        <v>40</v>
      </c>
      <c r="X98" s="46" t="s">
        <v>42</v>
      </c>
      <c r="Y98" s="11" t="s">
        <v>388</v>
      </c>
      <c r="Z98" s="11" t="s">
        <v>72</v>
      </c>
      <c r="AA98" s="11">
        <v>0</v>
      </c>
      <c r="AB98" s="11">
        <v>0.5</v>
      </c>
      <c r="AC98" s="12">
        <v>120546.59</v>
      </c>
      <c r="AD98" s="12">
        <v>0</v>
      </c>
      <c r="AE98" s="12">
        <v>0</v>
      </c>
      <c r="AF98" s="46"/>
    </row>
    <row r="99" spans="1:32" ht="22.5" customHeight="1" x14ac:dyDescent="0.25">
      <c r="A99" s="8">
        <v>98</v>
      </c>
      <c r="B99" s="9">
        <v>46035</v>
      </c>
      <c r="C99" s="10">
        <v>0.26041666666666669</v>
      </c>
      <c r="D99" s="11" t="s">
        <v>437</v>
      </c>
      <c r="E99" s="11" t="s">
        <v>73</v>
      </c>
      <c r="F99" s="11" t="s">
        <v>438</v>
      </c>
      <c r="G99" s="11" t="s">
        <v>179</v>
      </c>
      <c r="H99" s="11" t="s">
        <v>396</v>
      </c>
      <c r="I99" s="11" t="s">
        <v>439</v>
      </c>
      <c r="J99" s="11" t="s">
        <v>110</v>
      </c>
      <c r="K99" s="11" t="s">
        <v>32</v>
      </c>
      <c r="L99" s="11">
        <v>47</v>
      </c>
      <c r="M99" s="11" t="s">
        <v>381</v>
      </c>
      <c r="N99" s="11" t="s">
        <v>165</v>
      </c>
      <c r="O99" s="11">
        <v>10</v>
      </c>
      <c r="P99" s="11">
        <v>0</v>
      </c>
      <c r="Q99" s="46" t="s">
        <v>452</v>
      </c>
      <c r="R99" s="44" t="s">
        <v>247</v>
      </c>
      <c r="S99" s="11" t="s">
        <v>179</v>
      </c>
      <c r="T99" s="11" t="s">
        <v>40</v>
      </c>
      <c r="U99" s="11" t="s">
        <v>326</v>
      </c>
      <c r="V99" s="11" t="s">
        <v>40</v>
      </c>
      <c r="W99" s="11" t="s">
        <v>80</v>
      </c>
      <c r="X99" s="46" t="s">
        <v>177</v>
      </c>
      <c r="Y99" s="11" t="s">
        <v>317</v>
      </c>
      <c r="Z99" s="11" t="s">
        <v>59</v>
      </c>
      <c r="AA99" s="11">
        <v>0</v>
      </c>
      <c r="AB99" s="11">
        <v>0</v>
      </c>
      <c r="AC99" s="12">
        <v>34001.440000000002</v>
      </c>
      <c r="AD99" s="12">
        <v>0</v>
      </c>
      <c r="AE99" s="12">
        <v>0</v>
      </c>
      <c r="AF99" s="46"/>
    </row>
    <row r="100" spans="1:32" ht="22.5" customHeight="1" x14ac:dyDescent="0.25">
      <c r="A100" s="8">
        <v>99</v>
      </c>
      <c r="B100" s="9">
        <v>46035</v>
      </c>
      <c r="C100" s="10">
        <v>0.27083333333333331</v>
      </c>
      <c r="D100" s="11" t="s">
        <v>394</v>
      </c>
      <c r="E100" s="11" t="s">
        <v>45</v>
      </c>
      <c r="F100" s="11" t="s">
        <v>395</v>
      </c>
      <c r="G100" s="11" t="s">
        <v>28</v>
      </c>
      <c r="H100" s="11" t="s">
        <v>396</v>
      </c>
      <c r="I100" s="11" t="s">
        <v>102</v>
      </c>
      <c r="J100" s="11" t="s">
        <v>110</v>
      </c>
      <c r="K100" s="11" t="s">
        <v>65</v>
      </c>
      <c r="L100" s="11">
        <v>44</v>
      </c>
      <c r="M100" s="11" t="s">
        <v>415</v>
      </c>
      <c r="N100" s="11" t="s">
        <v>34</v>
      </c>
      <c r="O100" s="11">
        <v>310</v>
      </c>
      <c r="P100" s="11">
        <v>330</v>
      </c>
      <c r="Q100" s="46" t="s">
        <v>453</v>
      </c>
      <c r="R100" s="44" t="s">
        <v>451</v>
      </c>
      <c r="S100" s="11" t="s">
        <v>28</v>
      </c>
      <c r="T100" s="11" t="s">
        <v>40</v>
      </c>
      <c r="U100" s="11" t="s">
        <v>326</v>
      </c>
      <c r="V100" s="11" t="s">
        <v>40</v>
      </c>
      <c r="W100" s="11" t="s">
        <v>40</v>
      </c>
      <c r="X100" s="46" t="s">
        <v>42</v>
      </c>
      <c r="Y100" s="11" t="s">
        <v>317</v>
      </c>
      <c r="Z100" s="11" t="s">
        <v>59</v>
      </c>
      <c r="AA100" s="11">
        <v>0</v>
      </c>
      <c r="AB100" s="11">
        <v>0.5</v>
      </c>
      <c r="AC100" s="12">
        <v>120546.59</v>
      </c>
      <c r="AD100" s="12">
        <v>0</v>
      </c>
      <c r="AE100" s="12">
        <v>0</v>
      </c>
      <c r="AF100" s="46"/>
    </row>
    <row r="101" spans="1:32" ht="22.5" customHeight="1" x14ac:dyDescent="0.25">
      <c r="A101" s="8">
        <v>100</v>
      </c>
      <c r="B101" s="9">
        <v>46035</v>
      </c>
      <c r="C101" s="10">
        <v>0.3263888888888889</v>
      </c>
      <c r="D101" s="11" t="s">
        <v>310</v>
      </c>
      <c r="E101" s="11" t="s">
        <v>45</v>
      </c>
      <c r="F101" s="11" t="s">
        <v>311</v>
      </c>
      <c r="G101" s="11" t="s">
        <v>101</v>
      </c>
      <c r="H101" s="11" t="s">
        <v>29</v>
      </c>
      <c r="I101" s="11" t="s">
        <v>30</v>
      </c>
      <c r="J101" s="11" t="s">
        <v>110</v>
      </c>
      <c r="K101" s="11" t="s">
        <v>32</v>
      </c>
      <c r="L101" s="11">
        <v>49</v>
      </c>
      <c r="M101" s="11" t="s">
        <v>381</v>
      </c>
      <c r="N101" s="11" t="s">
        <v>34</v>
      </c>
      <c r="O101" s="11">
        <v>15</v>
      </c>
      <c r="P101" s="11">
        <v>25</v>
      </c>
      <c r="Q101" s="46" t="s">
        <v>454</v>
      </c>
      <c r="R101" s="44" t="s">
        <v>455</v>
      </c>
      <c r="S101" s="11" t="s">
        <v>101</v>
      </c>
      <c r="T101" s="11" t="s">
        <v>40</v>
      </c>
      <c r="U101" s="11" t="s">
        <v>326</v>
      </c>
      <c r="V101" s="11" t="s">
        <v>40</v>
      </c>
      <c r="W101" s="11" t="s">
        <v>40</v>
      </c>
      <c r="X101" s="46" t="s">
        <v>42</v>
      </c>
      <c r="Y101" s="11" t="s">
        <v>317</v>
      </c>
      <c r="Z101" s="11" t="s">
        <v>59</v>
      </c>
      <c r="AA101" s="11">
        <v>0</v>
      </c>
      <c r="AB101" s="11">
        <v>0</v>
      </c>
      <c r="AC101" s="12">
        <v>120546.59</v>
      </c>
      <c r="AD101" s="12">
        <v>0</v>
      </c>
      <c r="AE101" s="12">
        <v>0</v>
      </c>
      <c r="AF101" s="46"/>
    </row>
    <row r="102" spans="1:32" ht="22.5" customHeight="1" x14ac:dyDescent="0.25">
      <c r="A102" s="8">
        <v>101</v>
      </c>
      <c r="B102" s="9">
        <v>46035</v>
      </c>
      <c r="C102" s="10">
        <v>0.65555555555555556</v>
      </c>
      <c r="D102" s="11" t="s">
        <v>456</v>
      </c>
      <c r="E102" s="11" t="s">
        <v>45</v>
      </c>
      <c r="F102" s="11" t="s">
        <v>457</v>
      </c>
      <c r="G102" s="11" t="s">
        <v>101</v>
      </c>
      <c r="H102" s="11" t="s">
        <v>29</v>
      </c>
      <c r="I102" s="11" t="s">
        <v>458</v>
      </c>
      <c r="J102" s="11" t="s">
        <v>110</v>
      </c>
      <c r="K102" s="11" t="s">
        <v>32</v>
      </c>
      <c r="L102" s="11">
        <v>50</v>
      </c>
      <c r="M102" s="11" t="s">
        <v>381</v>
      </c>
      <c r="N102" s="11" t="s">
        <v>34</v>
      </c>
      <c r="O102" s="11">
        <v>16</v>
      </c>
      <c r="P102" s="11">
        <v>26</v>
      </c>
      <c r="Q102" s="46" t="s">
        <v>459</v>
      </c>
      <c r="R102" s="44" t="s">
        <v>455</v>
      </c>
      <c r="S102" s="11" t="s">
        <v>101</v>
      </c>
      <c r="T102" s="11" t="s">
        <v>40</v>
      </c>
      <c r="U102" s="11" t="s">
        <v>326</v>
      </c>
      <c r="V102" s="11" t="s">
        <v>40</v>
      </c>
      <c r="W102" s="11" t="s">
        <v>40</v>
      </c>
      <c r="X102" s="46" t="s">
        <v>42</v>
      </c>
      <c r="Y102" s="11" t="s">
        <v>317</v>
      </c>
      <c r="Z102" s="11" t="s">
        <v>59</v>
      </c>
      <c r="AA102" s="11">
        <v>0</v>
      </c>
      <c r="AB102" s="11">
        <v>41.8</v>
      </c>
      <c r="AC102" s="12">
        <v>120546.59</v>
      </c>
      <c r="AD102" s="12">
        <v>0</v>
      </c>
      <c r="AE102" s="12">
        <v>0</v>
      </c>
      <c r="AF102" s="46"/>
    </row>
    <row r="103" spans="1:32" ht="22.5" customHeight="1" x14ac:dyDescent="0.25">
      <c r="A103" s="8">
        <v>102</v>
      </c>
      <c r="B103" s="9">
        <v>46035</v>
      </c>
      <c r="C103" s="10">
        <v>0.97916666666666663</v>
      </c>
      <c r="D103" s="11" t="s">
        <v>437</v>
      </c>
      <c r="E103" s="11" t="s">
        <v>73</v>
      </c>
      <c r="F103" s="11" t="s">
        <v>438</v>
      </c>
      <c r="G103" s="11" t="s">
        <v>179</v>
      </c>
      <c r="H103" s="11" t="s">
        <v>396</v>
      </c>
      <c r="I103" s="11" t="s">
        <v>439</v>
      </c>
      <c r="J103" s="11" t="s">
        <v>110</v>
      </c>
      <c r="K103" s="11" t="s">
        <v>32</v>
      </c>
      <c r="L103" s="11">
        <v>51</v>
      </c>
      <c r="M103" s="11" t="s">
        <v>381</v>
      </c>
      <c r="N103" s="11" t="s">
        <v>34</v>
      </c>
      <c r="O103" s="11">
        <v>180</v>
      </c>
      <c r="P103" s="11">
        <v>200</v>
      </c>
      <c r="Q103" s="46" t="s">
        <v>460</v>
      </c>
      <c r="R103" s="44" t="s">
        <v>461</v>
      </c>
      <c r="S103" s="11" t="s">
        <v>179</v>
      </c>
      <c r="T103" s="11" t="s">
        <v>40</v>
      </c>
      <c r="U103" s="11" t="s">
        <v>326</v>
      </c>
      <c r="V103" s="11" t="s">
        <v>40</v>
      </c>
      <c r="W103" s="11" t="s">
        <v>462</v>
      </c>
      <c r="X103" s="46" t="s">
        <v>42</v>
      </c>
      <c r="Y103" s="11" t="s">
        <v>388</v>
      </c>
      <c r="Z103" s="11" t="s">
        <v>72</v>
      </c>
      <c r="AA103" s="11">
        <v>0</v>
      </c>
      <c r="AB103" s="11">
        <v>10</v>
      </c>
      <c r="AC103" s="12">
        <v>34001.440000000002</v>
      </c>
      <c r="AD103" s="12">
        <v>0</v>
      </c>
      <c r="AE103" s="12">
        <v>0</v>
      </c>
      <c r="AF103" s="46"/>
    </row>
    <row r="104" spans="1:32" ht="22.5" customHeight="1" x14ac:dyDescent="0.25">
      <c r="A104" s="8">
        <v>103</v>
      </c>
      <c r="B104" s="9">
        <v>46036</v>
      </c>
      <c r="C104" s="10">
        <v>4.8611111111111112E-2</v>
      </c>
      <c r="D104" s="11" t="s">
        <v>437</v>
      </c>
      <c r="E104" s="11" t="s">
        <v>73</v>
      </c>
      <c r="F104" s="11" t="s">
        <v>438</v>
      </c>
      <c r="G104" s="11" t="s">
        <v>179</v>
      </c>
      <c r="H104" s="11" t="s">
        <v>396</v>
      </c>
      <c r="I104" s="11" t="s">
        <v>439</v>
      </c>
      <c r="J104" s="11" t="s">
        <v>110</v>
      </c>
      <c r="K104" s="11" t="s">
        <v>32</v>
      </c>
      <c r="L104" s="11">
        <v>51</v>
      </c>
      <c r="M104" s="11" t="s">
        <v>381</v>
      </c>
      <c r="N104" s="11" t="s">
        <v>34</v>
      </c>
      <c r="O104" s="11">
        <v>180</v>
      </c>
      <c r="P104" s="11">
        <v>200</v>
      </c>
      <c r="Q104" s="46" t="s">
        <v>463</v>
      </c>
      <c r="R104" s="44" t="s">
        <v>461</v>
      </c>
      <c r="S104" s="11" t="s">
        <v>179</v>
      </c>
      <c r="T104" s="11" t="s">
        <v>40</v>
      </c>
      <c r="U104" s="11" t="s">
        <v>326</v>
      </c>
      <c r="V104" s="11" t="s">
        <v>40</v>
      </c>
      <c r="W104" s="11" t="s">
        <v>80</v>
      </c>
      <c r="X104" s="46" t="s">
        <v>464</v>
      </c>
      <c r="Y104" s="11" t="s">
        <v>388</v>
      </c>
      <c r="Z104" s="11" t="s">
        <v>72</v>
      </c>
      <c r="AA104" s="11">
        <v>0</v>
      </c>
      <c r="AB104" s="11">
        <v>0</v>
      </c>
      <c r="AC104" s="12">
        <v>34001.440000000002</v>
      </c>
      <c r="AD104" s="12">
        <v>0</v>
      </c>
      <c r="AE104" s="12">
        <v>0</v>
      </c>
      <c r="AF104" s="46"/>
    </row>
    <row r="105" spans="1:32" ht="22.5" customHeight="1" x14ac:dyDescent="0.25">
      <c r="A105" s="8">
        <v>104</v>
      </c>
      <c r="B105" s="9">
        <v>46036</v>
      </c>
      <c r="C105" s="10">
        <v>0.40277777777777779</v>
      </c>
      <c r="D105" s="11" t="s">
        <v>437</v>
      </c>
      <c r="E105" s="11" t="s">
        <v>73</v>
      </c>
      <c r="F105" s="11" t="s">
        <v>438</v>
      </c>
      <c r="G105" s="11" t="s">
        <v>179</v>
      </c>
      <c r="H105" s="11" t="s">
        <v>396</v>
      </c>
      <c r="I105" s="11" t="s">
        <v>439</v>
      </c>
      <c r="J105" s="11" t="s">
        <v>64</v>
      </c>
      <c r="K105" s="11" t="s">
        <v>32</v>
      </c>
      <c r="L105" s="11">
        <v>52</v>
      </c>
      <c r="M105" s="11" t="s">
        <v>465</v>
      </c>
      <c r="N105" s="11" t="s">
        <v>466</v>
      </c>
      <c r="O105" s="11">
        <v>-1.5</v>
      </c>
      <c r="P105" s="11">
        <v>-1</v>
      </c>
      <c r="Q105" s="46" t="s">
        <v>467</v>
      </c>
      <c r="R105" s="44" t="s">
        <v>468</v>
      </c>
      <c r="S105" s="11" t="s">
        <v>179</v>
      </c>
      <c r="T105" s="11" t="s">
        <v>40</v>
      </c>
      <c r="U105" s="11" t="s">
        <v>326</v>
      </c>
      <c r="V105" s="11" t="s">
        <v>40</v>
      </c>
      <c r="W105" s="11" t="s">
        <v>40</v>
      </c>
      <c r="X105" s="46" t="s">
        <v>469</v>
      </c>
      <c r="Y105" s="11" t="s">
        <v>317</v>
      </c>
      <c r="Z105" s="11" t="s">
        <v>59</v>
      </c>
      <c r="AA105" s="11">
        <v>0</v>
      </c>
      <c r="AB105" s="11">
        <v>0</v>
      </c>
      <c r="AC105" s="12">
        <v>34001.440000000002</v>
      </c>
      <c r="AD105" s="12">
        <v>0</v>
      </c>
      <c r="AE105" s="12">
        <v>0</v>
      </c>
      <c r="AF105" s="46"/>
    </row>
    <row r="106" spans="1:32" ht="22.5" customHeight="1" x14ac:dyDescent="0.25">
      <c r="A106" s="8">
        <v>105</v>
      </c>
      <c r="B106" s="9">
        <v>46036</v>
      </c>
      <c r="C106" s="10">
        <v>0.84722222222222221</v>
      </c>
      <c r="D106" s="11" t="s">
        <v>470</v>
      </c>
      <c r="E106" s="11" t="s">
        <v>73</v>
      </c>
      <c r="F106" s="11" t="s">
        <v>471</v>
      </c>
      <c r="G106" s="11" t="s">
        <v>163</v>
      </c>
      <c r="H106" s="11" t="s">
        <v>49</v>
      </c>
      <c r="I106" s="11" t="s">
        <v>472</v>
      </c>
      <c r="J106" s="11" t="s">
        <v>64</v>
      </c>
      <c r="K106" s="11" t="s">
        <v>32</v>
      </c>
      <c r="L106" s="11">
        <v>53</v>
      </c>
      <c r="M106" s="11" t="s">
        <v>381</v>
      </c>
      <c r="N106" s="11" t="s">
        <v>473</v>
      </c>
      <c r="O106" s="11">
        <v>0</v>
      </c>
      <c r="P106" s="11">
        <v>4850</v>
      </c>
      <c r="Q106" s="46" t="s">
        <v>474</v>
      </c>
      <c r="R106" s="44" t="s">
        <v>475</v>
      </c>
      <c r="S106" s="11" t="s">
        <v>163</v>
      </c>
      <c r="T106" s="11" t="s">
        <v>40</v>
      </c>
      <c r="U106" s="11" t="s">
        <v>476</v>
      </c>
      <c r="V106" s="11" t="s">
        <v>40</v>
      </c>
      <c r="W106" s="11" t="s">
        <v>80</v>
      </c>
      <c r="X106" s="46" t="s">
        <v>477</v>
      </c>
      <c r="Y106" s="11" t="s">
        <v>143</v>
      </c>
      <c r="Z106" s="11" t="s">
        <v>72</v>
      </c>
      <c r="AA106" s="11">
        <v>0</v>
      </c>
      <c r="AB106" s="11">
        <v>0</v>
      </c>
      <c r="AC106" s="12">
        <v>44717.22</v>
      </c>
      <c r="AD106" s="12">
        <v>0</v>
      </c>
      <c r="AE106" s="12">
        <v>0</v>
      </c>
      <c r="AF106" s="46"/>
    </row>
    <row r="107" spans="1:32" ht="22.5" customHeight="1" x14ac:dyDescent="0.25">
      <c r="A107" s="8">
        <v>106</v>
      </c>
      <c r="B107" s="9">
        <v>46037</v>
      </c>
      <c r="C107" s="10">
        <v>0.41666666666666669</v>
      </c>
      <c r="D107" s="11" t="s">
        <v>280</v>
      </c>
      <c r="E107" s="11" t="s">
        <v>333</v>
      </c>
      <c r="F107" s="11" t="s">
        <v>478</v>
      </c>
      <c r="G107" s="11" t="s">
        <v>235</v>
      </c>
      <c r="H107" s="11" t="s">
        <v>354</v>
      </c>
      <c r="I107" s="11" t="s">
        <v>50</v>
      </c>
      <c r="J107" s="11" t="s">
        <v>31</v>
      </c>
      <c r="K107" s="11" t="s">
        <v>32</v>
      </c>
      <c r="L107" s="11">
        <v>54</v>
      </c>
      <c r="M107" s="11" t="s">
        <v>479</v>
      </c>
      <c r="N107" s="11" t="s">
        <v>473</v>
      </c>
      <c r="O107" s="11">
        <v>2200</v>
      </c>
      <c r="P107" s="11">
        <v>2400</v>
      </c>
      <c r="Q107" s="46" t="s">
        <v>480</v>
      </c>
      <c r="R107" s="44" t="s">
        <v>481</v>
      </c>
      <c r="S107" s="11" t="s">
        <v>179</v>
      </c>
      <c r="T107" s="11" t="s">
        <v>40</v>
      </c>
      <c r="U107" s="11" t="s">
        <v>482</v>
      </c>
      <c r="V107" s="11" t="s">
        <v>40</v>
      </c>
      <c r="W107" s="11" t="s">
        <v>80</v>
      </c>
      <c r="X107" s="46" t="s">
        <v>483</v>
      </c>
      <c r="Y107" s="11" t="s">
        <v>317</v>
      </c>
      <c r="Z107" s="11" t="s">
        <v>59</v>
      </c>
      <c r="AA107" s="11">
        <v>0</v>
      </c>
      <c r="AB107" s="11">
        <v>20.3</v>
      </c>
      <c r="AC107" s="12">
        <v>34001.440000000002</v>
      </c>
      <c r="AD107" s="12">
        <v>0</v>
      </c>
      <c r="AE107" s="12">
        <v>0</v>
      </c>
      <c r="AF107" s="46"/>
    </row>
    <row r="108" spans="1:32" ht="22.5" customHeight="1" x14ac:dyDescent="0.25">
      <c r="A108" s="8">
        <v>107</v>
      </c>
      <c r="B108" s="9">
        <v>46037</v>
      </c>
      <c r="C108" s="10">
        <v>0.41666666666666669</v>
      </c>
      <c r="D108" s="11" t="s">
        <v>280</v>
      </c>
      <c r="E108" s="11" t="s">
        <v>333</v>
      </c>
      <c r="F108" s="11" t="s">
        <v>478</v>
      </c>
      <c r="G108" s="11" t="s">
        <v>235</v>
      </c>
      <c r="H108" s="11" t="s">
        <v>354</v>
      </c>
      <c r="I108" s="11" t="s">
        <v>50</v>
      </c>
      <c r="J108" s="11" t="s">
        <v>110</v>
      </c>
      <c r="K108" s="11" t="s">
        <v>32</v>
      </c>
      <c r="L108" s="11">
        <v>54</v>
      </c>
      <c r="M108" s="11" t="s">
        <v>484</v>
      </c>
      <c r="N108" s="11" t="s">
        <v>485</v>
      </c>
      <c r="O108" s="13">
        <v>0.24</v>
      </c>
      <c r="P108" s="11">
        <v>0</v>
      </c>
      <c r="Q108" s="46" t="s">
        <v>486</v>
      </c>
      <c r="R108" s="44" t="s">
        <v>418</v>
      </c>
      <c r="S108" s="11" t="s">
        <v>179</v>
      </c>
      <c r="T108" s="11" t="s">
        <v>40</v>
      </c>
      <c r="U108" s="11" t="s">
        <v>482</v>
      </c>
      <c r="V108" s="11" t="s">
        <v>40</v>
      </c>
      <c r="W108" s="11" t="s">
        <v>40</v>
      </c>
      <c r="X108" s="46" t="s">
        <v>487</v>
      </c>
      <c r="Y108" s="11" t="s">
        <v>317</v>
      </c>
      <c r="Z108" s="11" t="s">
        <v>59</v>
      </c>
      <c r="AA108" s="11">
        <v>20.3</v>
      </c>
      <c r="AB108" s="11">
        <v>0</v>
      </c>
      <c r="AC108" s="12">
        <v>34001.440000000002</v>
      </c>
      <c r="AD108" s="12">
        <v>0</v>
      </c>
      <c r="AE108" s="12">
        <v>0</v>
      </c>
      <c r="AF108" s="46"/>
    </row>
    <row r="109" spans="1:32" ht="22.5" customHeight="1" x14ac:dyDescent="0.25">
      <c r="A109" s="8">
        <v>108</v>
      </c>
      <c r="B109" s="9">
        <v>46037</v>
      </c>
      <c r="C109" s="10">
        <v>0.8125</v>
      </c>
      <c r="D109" s="11" t="s">
        <v>470</v>
      </c>
      <c r="E109" s="11" t="s">
        <v>73</v>
      </c>
      <c r="F109" s="11" t="s">
        <v>471</v>
      </c>
      <c r="G109" s="11" t="s">
        <v>163</v>
      </c>
      <c r="H109" s="11" t="s">
        <v>49</v>
      </c>
      <c r="I109" s="11" t="s">
        <v>472</v>
      </c>
      <c r="J109" s="11" t="s">
        <v>64</v>
      </c>
      <c r="K109" s="11" t="s">
        <v>32</v>
      </c>
      <c r="L109" s="11">
        <v>53</v>
      </c>
      <c r="M109" s="11" t="s">
        <v>381</v>
      </c>
      <c r="N109" s="11" t="s">
        <v>473</v>
      </c>
      <c r="O109" s="11">
        <v>0</v>
      </c>
      <c r="P109" s="11">
        <v>1890</v>
      </c>
      <c r="Q109" s="46" t="s">
        <v>488</v>
      </c>
      <c r="R109" s="44" t="s">
        <v>489</v>
      </c>
      <c r="S109" s="11" t="s">
        <v>163</v>
      </c>
      <c r="T109" s="11" t="s">
        <v>40</v>
      </c>
      <c r="U109" s="11" t="s">
        <v>176</v>
      </c>
      <c r="V109" s="11" t="s">
        <v>80</v>
      </c>
      <c r="W109" s="11" t="s">
        <v>80</v>
      </c>
      <c r="X109" s="46" t="s">
        <v>490</v>
      </c>
      <c r="Y109" s="11" t="s">
        <v>71</v>
      </c>
      <c r="Z109" s="11" t="s">
        <v>72</v>
      </c>
      <c r="AA109" s="11">
        <v>0</v>
      </c>
      <c r="AB109" s="11">
        <v>0</v>
      </c>
      <c r="AC109" s="12">
        <v>44717.22</v>
      </c>
      <c r="AD109" s="12">
        <v>0</v>
      </c>
      <c r="AE109" s="12">
        <v>0</v>
      </c>
      <c r="AF109" s="46"/>
    </row>
    <row r="110" spans="1:32" ht="22.5" customHeight="1" x14ac:dyDescent="0.25">
      <c r="A110" s="8">
        <v>109</v>
      </c>
      <c r="B110" s="9">
        <v>45673</v>
      </c>
      <c r="C110" s="10">
        <v>0.20833333333333334</v>
      </c>
      <c r="D110" s="11" t="s">
        <v>491</v>
      </c>
      <c r="E110" s="11" t="s">
        <v>73</v>
      </c>
      <c r="F110" s="11" t="s">
        <v>492</v>
      </c>
      <c r="G110" s="11" t="s">
        <v>63</v>
      </c>
      <c r="H110" s="11" t="s">
        <v>49</v>
      </c>
      <c r="I110" s="11" t="s">
        <v>472</v>
      </c>
      <c r="J110" s="11" t="s">
        <v>110</v>
      </c>
      <c r="K110" s="11" t="s">
        <v>65</v>
      </c>
      <c r="L110" s="11">
        <v>55</v>
      </c>
      <c r="M110" s="11" t="s">
        <v>318</v>
      </c>
      <c r="N110" s="11" t="s">
        <v>165</v>
      </c>
      <c r="O110" s="11">
        <v>140</v>
      </c>
      <c r="P110" s="11">
        <v>100</v>
      </c>
      <c r="Q110" s="46" t="s">
        <v>493</v>
      </c>
      <c r="R110" s="44" t="s">
        <v>494</v>
      </c>
      <c r="S110" s="11" t="s">
        <v>63</v>
      </c>
      <c r="T110" s="11" t="s">
        <v>40</v>
      </c>
      <c r="U110" s="11" t="s">
        <v>495</v>
      </c>
      <c r="V110" s="11" t="s">
        <v>80</v>
      </c>
      <c r="W110" s="11" t="s">
        <v>80</v>
      </c>
      <c r="X110" s="46" t="s">
        <v>496</v>
      </c>
      <c r="Y110" s="11" t="s">
        <v>497</v>
      </c>
      <c r="Z110" s="11" t="s">
        <v>72</v>
      </c>
      <c r="AA110" s="11">
        <v>0</v>
      </c>
      <c r="AB110" s="11">
        <v>1</v>
      </c>
      <c r="AC110" s="12">
        <v>44717.22</v>
      </c>
      <c r="AD110" s="12">
        <v>0</v>
      </c>
      <c r="AE110" s="12">
        <v>0</v>
      </c>
      <c r="AF110" s="46"/>
    </row>
    <row r="111" spans="1:32" ht="22.5" customHeight="1" x14ac:dyDescent="0.25">
      <c r="A111" s="8">
        <v>110</v>
      </c>
      <c r="B111" s="9">
        <v>46038</v>
      </c>
      <c r="C111" s="10">
        <v>0.41666666666666669</v>
      </c>
      <c r="D111" s="11" t="s">
        <v>470</v>
      </c>
      <c r="E111" s="11" t="s">
        <v>73</v>
      </c>
      <c r="F111" s="11" t="s">
        <v>471</v>
      </c>
      <c r="G111" s="11" t="s">
        <v>163</v>
      </c>
      <c r="H111" s="11" t="s">
        <v>49</v>
      </c>
      <c r="I111" s="11" t="s">
        <v>472</v>
      </c>
      <c r="J111" s="11" t="s">
        <v>110</v>
      </c>
      <c r="K111" s="11" t="s">
        <v>32</v>
      </c>
      <c r="L111" s="11">
        <v>53</v>
      </c>
      <c r="M111" s="11" t="s">
        <v>381</v>
      </c>
      <c r="N111" s="11" t="s">
        <v>391</v>
      </c>
      <c r="O111" s="11">
        <v>12</v>
      </c>
      <c r="P111" s="11">
        <v>20</v>
      </c>
      <c r="Q111" s="46" t="s">
        <v>498</v>
      </c>
      <c r="R111" s="44" t="s">
        <v>499</v>
      </c>
      <c r="S111" s="11" t="s">
        <v>163</v>
      </c>
      <c r="T111" s="11" t="s">
        <v>40</v>
      </c>
      <c r="U111" s="11" t="s">
        <v>500</v>
      </c>
      <c r="V111" s="11" t="s">
        <v>40</v>
      </c>
      <c r="W111" s="11" t="s">
        <v>40</v>
      </c>
      <c r="X111" s="46" t="s">
        <v>42</v>
      </c>
      <c r="Y111" s="11" t="s">
        <v>86</v>
      </c>
      <c r="Z111" s="11" t="s">
        <v>59</v>
      </c>
      <c r="AA111" s="11">
        <v>3</v>
      </c>
      <c r="AB111" s="11">
        <v>0</v>
      </c>
      <c r="AC111" s="12">
        <v>44717.22</v>
      </c>
      <c r="AD111" s="12">
        <v>0</v>
      </c>
      <c r="AE111" s="12">
        <v>0</v>
      </c>
      <c r="AF111" s="46"/>
    </row>
    <row r="112" spans="1:32" ht="22.5" customHeight="1" x14ac:dyDescent="0.25">
      <c r="A112" s="8">
        <v>111</v>
      </c>
      <c r="B112" s="9">
        <v>46038</v>
      </c>
      <c r="C112" s="10">
        <v>0.70833333333333337</v>
      </c>
      <c r="D112" s="11" t="s">
        <v>470</v>
      </c>
      <c r="E112" s="11" t="s">
        <v>73</v>
      </c>
      <c r="F112" s="11" t="s">
        <v>471</v>
      </c>
      <c r="G112" s="11" t="s">
        <v>163</v>
      </c>
      <c r="H112" s="11" t="s">
        <v>49</v>
      </c>
      <c r="I112" s="11" t="s">
        <v>472</v>
      </c>
      <c r="J112" s="11" t="s">
        <v>31</v>
      </c>
      <c r="K112" s="11" t="s">
        <v>32</v>
      </c>
      <c r="L112" s="11">
        <v>53</v>
      </c>
      <c r="M112" s="11" t="s">
        <v>381</v>
      </c>
      <c r="N112" s="11" t="s">
        <v>501</v>
      </c>
      <c r="O112" s="11">
        <v>3880</v>
      </c>
      <c r="P112" s="11">
        <v>3730</v>
      </c>
      <c r="Q112" s="46" t="s">
        <v>502</v>
      </c>
      <c r="R112" s="44" t="s">
        <v>503</v>
      </c>
      <c r="S112" s="11" t="s">
        <v>163</v>
      </c>
      <c r="T112" s="11" t="s">
        <v>40</v>
      </c>
      <c r="U112" s="11" t="s">
        <v>500</v>
      </c>
      <c r="V112" s="11" t="s">
        <v>80</v>
      </c>
      <c r="W112" s="11" t="s">
        <v>80</v>
      </c>
      <c r="X112" s="46" t="s">
        <v>504</v>
      </c>
      <c r="Y112" s="11" t="s">
        <v>86</v>
      </c>
      <c r="Z112" s="11" t="s">
        <v>59</v>
      </c>
      <c r="AA112" s="11">
        <v>0</v>
      </c>
      <c r="AB112" s="11">
        <v>0</v>
      </c>
      <c r="AC112" s="12">
        <v>44717.22</v>
      </c>
      <c r="AD112" s="12">
        <v>0</v>
      </c>
      <c r="AE112" s="12">
        <v>0</v>
      </c>
      <c r="AF112" s="46"/>
    </row>
    <row r="113" spans="1:32" ht="22.5" customHeight="1" x14ac:dyDescent="0.25">
      <c r="A113" s="8">
        <v>112</v>
      </c>
      <c r="B113" s="9">
        <v>46038</v>
      </c>
      <c r="C113" s="10">
        <v>0.79166666666666663</v>
      </c>
      <c r="D113" s="11" t="s">
        <v>491</v>
      </c>
      <c r="E113" s="11" t="s">
        <v>73</v>
      </c>
      <c r="F113" s="11" t="s">
        <v>492</v>
      </c>
      <c r="G113" s="11" t="s">
        <v>63</v>
      </c>
      <c r="H113" s="11" t="s">
        <v>49</v>
      </c>
      <c r="I113" s="11" t="s">
        <v>472</v>
      </c>
      <c r="J113" s="11" t="s">
        <v>31</v>
      </c>
      <c r="K113" s="11" t="s">
        <v>65</v>
      </c>
      <c r="L113" s="11">
        <v>55</v>
      </c>
      <c r="M113" s="11" t="s">
        <v>318</v>
      </c>
      <c r="N113" s="11" t="s">
        <v>165</v>
      </c>
      <c r="O113" s="11">
        <v>140</v>
      </c>
      <c r="P113" s="11">
        <v>100</v>
      </c>
      <c r="Q113" s="46" t="s">
        <v>493</v>
      </c>
      <c r="R113" s="44" t="s">
        <v>505</v>
      </c>
      <c r="S113" s="11" t="s">
        <v>63</v>
      </c>
      <c r="T113" s="11" t="s">
        <v>40</v>
      </c>
      <c r="U113" s="11" t="s">
        <v>176</v>
      </c>
      <c r="V113" s="11" t="s">
        <v>40</v>
      </c>
      <c r="W113" s="11" t="s">
        <v>80</v>
      </c>
      <c r="X113" s="46" t="s">
        <v>496</v>
      </c>
      <c r="Y113" s="11" t="s">
        <v>363</v>
      </c>
      <c r="Z113" s="11" t="s">
        <v>72</v>
      </c>
      <c r="AA113" s="11">
        <v>0</v>
      </c>
      <c r="AB113" s="11">
        <v>0</v>
      </c>
      <c r="AC113" s="12">
        <v>44717.22</v>
      </c>
      <c r="AD113" s="12">
        <v>0</v>
      </c>
      <c r="AE113" s="12">
        <v>0</v>
      </c>
      <c r="AF113" s="46"/>
    </row>
    <row r="114" spans="1:32" ht="22.5" customHeight="1" x14ac:dyDescent="0.25">
      <c r="A114" s="8">
        <v>113</v>
      </c>
      <c r="B114" s="9">
        <v>46038</v>
      </c>
      <c r="C114" s="10">
        <v>0.95833333333333337</v>
      </c>
      <c r="D114" s="11" t="s">
        <v>470</v>
      </c>
      <c r="E114" s="11" t="s">
        <v>73</v>
      </c>
      <c r="F114" s="11" t="s">
        <v>471</v>
      </c>
      <c r="G114" s="11" t="s">
        <v>163</v>
      </c>
      <c r="H114" s="11" t="s">
        <v>49</v>
      </c>
      <c r="I114" s="11" t="s">
        <v>472</v>
      </c>
      <c r="J114" s="11" t="s">
        <v>31</v>
      </c>
      <c r="K114" s="11" t="s">
        <v>65</v>
      </c>
      <c r="L114" s="11">
        <v>53</v>
      </c>
      <c r="M114" s="11" t="s">
        <v>318</v>
      </c>
      <c r="N114" s="11" t="s">
        <v>165</v>
      </c>
      <c r="O114" s="11">
        <v>140</v>
      </c>
      <c r="P114" s="11">
        <v>73</v>
      </c>
      <c r="Q114" s="46" t="s">
        <v>506</v>
      </c>
      <c r="R114" s="44" t="s">
        <v>505</v>
      </c>
      <c r="S114" s="11" t="s">
        <v>163</v>
      </c>
      <c r="T114" s="11" t="s">
        <v>40</v>
      </c>
      <c r="U114" s="11" t="s">
        <v>176</v>
      </c>
      <c r="V114" s="11" t="s">
        <v>40</v>
      </c>
      <c r="W114" s="11" t="s">
        <v>40</v>
      </c>
      <c r="X114" s="46" t="s">
        <v>42</v>
      </c>
      <c r="Y114" s="11" t="s">
        <v>43</v>
      </c>
      <c r="Z114" s="11" t="s">
        <v>72</v>
      </c>
      <c r="AA114" s="11">
        <v>0</v>
      </c>
      <c r="AB114" s="11">
        <v>24</v>
      </c>
      <c r="AC114" s="12">
        <v>44717.22</v>
      </c>
      <c r="AD114" s="12">
        <v>0</v>
      </c>
      <c r="AE114" s="12">
        <v>0</v>
      </c>
      <c r="AF114" s="46"/>
    </row>
    <row r="115" spans="1:32" ht="22.5" customHeight="1" x14ac:dyDescent="0.25">
      <c r="A115" s="8">
        <v>114</v>
      </c>
      <c r="B115" s="9">
        <v>46039</v>
      </c>
      <c r="C115" s="10">
        <v>3.125E-2</v>
      </c>
      <c r="D115" s="11" t="s">
        <v>394</v>
      </c>
      <c r="E115" s="11" t="s">
        <v>45</v>
      </c>
      <c r="F115" s="11" t="s">
        <v>395</v>
      </c>
      <c r="G115" s="11" t="s">
        <v>28</v>
      </c>
      <c r="H115" s="11" t="s">
        <v>396</v>
      </c>
      <c r="I115" s="11" t="s">
        <v>102</v>
      </c>
      <c r="J115" s="11" t="s">
        <v>110</v>
      </c>
      <c r="K115" s="11" t="s">
        <v>65</v>
      </c>
      <c r="L115" s="11">
        <v>44</v>
      </c>
      <c r="M115" s="11" t="s">
        <v>415</v>
      </c>
      <c r="N115" s="11" t="s">
        <v>34</v>
      </c>
      <c r="O115" s="11">
        <v>340</v>
      </c>
      <c r="P115" s="11">
        <v>315</v>
      </c>
      <c r="Q115" s="46" t="s">
        <v>507</v>
      </c>
      <c r="R115" s="44" t="s">
        <v>508</v>
      </c>
      <c r="S115" s="11" t="s">
        <v>28</v>
      </c>
      <c r="T115" s="11" t="s">
        <v>40</v>
      </c>
      <c r="U115" s="11" t="s">
        <v>326</v>
      </c>
      <c r="V115" s="11" t="s">
        <v>40</v>
      </c>
      <c r="W115" s="11" t="s">
        <v>40</v>
      </c>
      <c r="X115" s="46" t="s">
        <v>42</v>
      </c>
      <c r="Y115" s="11" t="s">
        <v>388</v>
      </c>
      <c r="Z115" s="11" t="s">
        <v>72</v>
      </c>
      <c r="AA115" s="11">
        <v>0</v>
      </c>
      <c r="AB115" s="11">
        <v>0.5</v>
      </c>
      <c r="AC115" s="12">
        <v>120546.59</v>
      </c>
      <c r="AD115" s="12">
        <v>0</v>
      </c>
      <c r="AE115" s="12">
        <v>0</v>
      </c>
      <c r="AF115" s="46"/>
    </row>
    <row r="116" spans="1:32" ht="22.5" customHeight="1" x14ac:dyDescent="0.25">
      <c r="A116" s="8">
        <v>115</v>
      </c>
      <c r="B116" s="9">
        <v>46039</v>
      </c>
      <c r="C116" s="10">
        <v>8.3333333333333329E-2</v>
      </c>
      <c r="D116" s="11" t="s">
        <v>491</v>
      </c>
      <c r="E116" s="11" t="s">
        <v>73</v>
      </c>
      <c r="F116" s="11" t="s">
        <v>492</v>
      </c>
      <c r="G116" s="11" t="s">
        <v>63</v>
      </c>
      <c r="H116" s="11" t="s">
        <v>49</v>
      </c>
      <c r="I116" s="11" t="s">
        <v>472</v>
      </c>
      <c r="J116" s="11" t="s">
        <v>110</v>
      </c>
      <c r="K116" s="11" t="s">
        <v>65</v>
      </c>
      <c r="L116" s="11">
        <v>55</v>
      </c>
      <c r="M116" s="11" t="s">
        <v>318</v>
      </c>
      <c r="N116" s="11" t="s">
        <v>391</v>
      </c>
      <c r="O116" s="11">
        <v>15</v>
      </c>
      <c r="P116" s="11">
        <v>18</v>
      </c>
      <c r="Q116" s="46" t="s">
        <v>509</v>
      </c>
      <c r="R116" s="44" t="s">
        <v>505</v>
      </c>
      <c r="S116" s="11" t="s">
        <v>63</v>
      </c>
      <c r="T116" s="11" t="s">
        <v>40</v>
      </c>
      <c r="U116" s="11" t="s">
        <v>176</v>
      </c>
      <c r="V116" s="11" t="s">
        <v>40</v>
      </c>
      <c r="W116" s="11" t="s">
        <v>80</v>
      </c>
      <c r="X116" s="46" t="s">
        <v>496</v>
      </c>
      <c r="Y116" s="11" t="s">
        <v>497</v>
      </c>
      <c r="Z116" s="11" t="s">
        <v>72</v>
      </c>
      <c r="AA116" s="11">
        <v>0</v>
      </c>
      <c r="AB116" s="11">
        <v>0</v>
      </c>
      <c r="AC116" s="12">
        <v>44717.22</v>
      </c>
      <c r="AD116" s="12">
        <v>0</v>
      </c>
      <c r="AE116" s="12">
        <v>0</v>
      </c>
      <c r="AF116" s="46"/>
    </row>
    <row r="117" spans="1:32" ht="22.5" customHeight="1" x14ac:dyDescent="0.25">
      <c r="A117" s="8">
        <v>116</v>
      </c>
      <c r="B117" s="9">
        <v>46039</v>
      </c>
      <c r="C117" s="10">
        <v>0.14583333333333334</v>
      </c>
      <c r="D117" s="11" t="s">
        <v>470</v>
      </c>
      <c r="E117" s="11" t="s">
        <v>73</v>
      </c>
      <c r="F117" s="11" t="s">
        <v>471</v>
      </c>
      <c r="G117" s="11" t="s">
        <v>163</v>
      </c>
      <c r="H117" s="11" t="s">
        <v>49</v>
      </c>
      <c r="I117" s="11" t="s">
        <v>472</v>
      </c>
      <c r="J117" s="11" t="s">
        <v>110</v>
      </c>
      <c r="K117" s="11" t="s">
        <v>65</v>
      </c>
      <c r="L117" s="11">
        <v>53</v>
      </c>
      <c r="M117" s="11" t="s">
        <v>318</v>
      </c>
      <c r="N117" s="11" t="s">
        <v>165</v>
      </c>
      <c r="O117" s="11">
        <v>140</v>
      </c>
      <c r="P117" s="11">
        <v>80</v>
      </c>
      <c r="Q117" s="46" t="s">
        <v>510</v>
      </c>
      <c r="R117" s="44" t="s">
        <v>511</v>
      </c>
      <c r="S117" s="11" t="s">
        <v>163</v>
      </c>
      <c r="T117" s="11" t="s">
        <v>40</v>
      </c>
      <c r="U117" s="11" t="s">
        <v>176</v>
      </c>
      <c r="V117" s="11" t="s">
        <v>40</v>
      </c>
      <c r="W117" s="11" t="s">
        <v>40</v>
      </c>
      <c r="X117" s="46" t="s">
        <v>512</v>
      </c>
      <c r="Y117" s="11" t="s">
        <v>513</v>
      </c>
      <c r="Z117" s="11" t="s">
        <v>72</v>
      </c>
      <c r="AA117" s="11">
        <v>30</v>
      </c>
      <c r="AB117" s="11">
        <v>0</v>
      </c>
      <c r="AC117" s="12">
        <v>44717.22</v>
      </c>
      <c r="AD117" s="12">
        <v>0</v>
      </c>
      <c r="AE117" s="12">
        <v>0</v>
      </c>
      <c r="AF117" s="46"/>
    </row>
    <row r="118" spans="1:32" ht="22.5" customHeight="1" x14ac:dyDescent="0.25">
      <c r="A118" s="8">
        <v>117</v>
      </c>
      <c r="B118" s="9">
        <v>46039</v>
      </c>
      <c r="C118" s="10">
        <v>0.1875</v>
      </c>
      <c r="D118" s="11" t="s">
        <v>310</v>
      </c>
      <c r="E118" s="11" t="s">
        <v>45</v>
      </c>
      <c r="F118" s="11" t="s">
        <v>311</v>
      </c>
      <c r="G118" s="11" t="s">
        <v>101</v>
      </c>
      <c r="H118" s="11" t="s">
        <v>29</v>
      </c>
      <c r="I118" s="11" t="s">
        <v>30</v>
      </c>
      <c r="J118" s="11" t="s">
        <v>110</v>
      </c>
      <c r="K118" s="11" t="s">
        <v>32</v>
      </c>
      <c r="L118" s="11">
        <v>49</v>
      </c>
      <c r="M118" s="11" t="s">
        <v>381</v>
      </c>
      <c r="N118" s="11" t="s">
        <v>34</v>
      </c>
      <c r="O118" s="11">
        <v>240</v>
      </c>
      <c r="P118" s="11">
        <v>255</v>
      </c>
      <c r="Q118" s="46" t="s">
        <v>514</v>
      </c>
      <c r="R118" s="44" t="s">
        <v>461</v>
      </c>
      <c r="S118" s="11" t="s">
        <v>101</v>
      </c>
      <c r="T118" s="11" t="s">
        <v>40</v>
      </c>
      <c r="U118" s="11" t="s">
        <v>326</v>
      </c>
      <c r="V118" s="11" t="s">
        <v>40</v>
      </c>
      <c r="W118" s="11" t="s">
        <v>80</v>
      </c>
      <c r="X118" s="46" t="s">
        <v>496</v>
      </c>
      <c r="Y118" s="11" t="s">
        <v>388</v>
      </c>
      <c r="Z118" s="11" t="s">
        <v>72</v>
      </c>
      <c r="AA118" s="11">
        <v>0</v>
      </c>
      <c r="AB118" s="11">
        <v>0</v>
      </c>
      <c r="AC118" s="12">
        <v>120546.59</v>
      </c>
      <c r="AD118" s="12">
        <v>0</v>
      </c>
      <c r="AE118" s="12">
        <v>0</v>
      </c>
      <c r="AF118" s="46"/>
    </row>
    <row r="119" spans="1:32" ht="22.5" customHeight="1" x14ac:dyDescent="0.25">
      <c r="A119" s="8">
        <v>118</v>
      </c>
      <c r="B119" s="9">
        <v>46039</v>
      </c>
      <c r="C119" s="10">
        <v>0.54166666666666663</v>
      </c>
      <c r="D119" s="11" t="s">
        <v>310</v>
      </c>
      <c r="E119" s="11" t="s">
        <v>45</v>
      </c>
      <c r="F119" s="11" t="s">
        <v>311</v>
      </c>
      <c r="G119" s="11" t="s">
        <v>101</v>
      </c>
      <c r="H119" s="11" t="s">
        <v>29</v>
      </c>
      <c r="I119" s="11" t="s">
        <v>30</v>
      </c>
      <c r="J119" s="11" t="s">
        <v>110</v>
      </c>
      <c r="K119" s="11" t="s">
        <v>32</v>
      </c>
      <c r="L119" s="11">
        <v>49</v>
      </c>
      <c r="M119" s="11" t="s">
        <v>381</v>
      </c>
      <c r="N119" s="11" t="s">
        <v>34</v>
      </c>
      <c r="O119" s="11">
        <v>230</v>
      </c>
      <c r="P119" s="11">
        <v>211</v>
      </c>
      <c r="Q119" s="46" t="s">
        <v>515</v>
      </c>
      <c r="R119" s="44" t="s">
        <v>516</v>
      </c>
      <c r="S119" s="11" t="s">
        <v>101</v>
      </c>
      <c r="T119" s="11" t="s">
        <v>40</v>
      </c>
      <c r="U119" s="11" t="s">
        <v>326</v>
      </c>
      <c r="V119" s="11" t="s">
        <v>40</v>
      </c>
      <c r="W119" s="11" t="s">
        <v>40</v>
      </c>
      <c r="X119" s="46" t="s">
        <v>42</v>
      </c>
      <c r="Y119" s="11" t="s">
        <v>317</v>
      </c>
      <c r="Z119" s="11" t="s">
        <v>59</v>
      </c>
      <c r="AA119" s="11">
        <v>0</v>
      </c>
      <c r="AB119" s="11">
        <v>0</v>
      </c>
      <c r="AC119" s="12">
        <v>120546.59</v>
      </c>
      <c r="AD119" s="12">
        <v>0</v>
      </c>
      <c r="AE119" s="12">
        <v>0</v>
      </c>
      <c r="AF119" s="46"/>
    </row>
    <row r="120" spans="1:32" ht="22.5" customHeight="1" x14ac:dyDescent="0.25">
      <c r="A120" s="8">
        <v>119</v>
      </c>
      <c r="B120" s="9">
        <v>46039</v>
      </c>
      <c r="C120" s="10">
        <v>0.57291666666666663</v>
      </c>
      <c r="D120" s="11" t="s">
        <v>280</v>
      </c>
      <c r="E120" s="11" t="s">
        <v>333</v>
      </c>
      <c r="F120" s="11" t="s">
        <v>478</v>
      </c>
      <c r="G120" s="11" t="s">
        <v>235</v>
      </c>
      <c r="H120" s="11" t="s">
        <v>354</v>
      </c>
      <c r="I120" s="11" t="s">
        <v>50</v>
      </c>
      <c r="J120" s="11" t="s">
        <v>110</v>
      </c>
      <c r="K120" s="11" t="s">
        <v>32</v>
      </c>
      <c r="L120" s="11">
        <v>54</v>
      </c>
      <c r="M120" s="11" t="s">
        <v>484</v>
      </c>
      <c r="N120" s="11" t="s">
        <v>485</v>
      </c>
      <c r="O120" s="13">
        <v>0.24</v>
      </c>
      <c r="P120" s="11">
        <v>0</v>
      </c>
      <c r="Q120" s="46" t="s">
        <v>486</v>
      </c>
      <c r="R120" s="44" t="s">
        <v>418</v>
      </c>
      <c r="S120" s="11" t="s">
        <v>101</v>
      </c>
      <c r="T120" s="11" t="s">
        <v>40</v>
      </c>
      <c r="U120" s="11" t="s">
        <v>326</v>
      </c>
      <c r="V120" s="11" t="s">
        <v>40</v>
      </c>
      <c r="W120" s="11" t="s">
        <v>40</v>
      </c>
      <c r="X120" s="46" t="s">
        <v>42</v>
      </c>
      <c r="Y120" s="11" t="s">
        <v>317</v>
      </c>
      <c r="Z120" s="11" t="s">
        <v>59</v>
      </c>
      <c r="AA120" s="11">
        <v>20.3</v>
      </c>
      <c r="AB120" s="11">
        <v>0</v>
      </c>
      <c r="AC120" s="12">
        <v>34001.440000000002</v>
      </c>
      <c r="AD120" s="12">
        <v>0</v>
      </c>
      <c r="AE120" s="12">
        <v>0</v>
      </c>
      <c r="AF120" s="46"/>
    </row>
    <row r="121" spans="1:32" ht="22.5" customHeight="1" x14ac:dyDescent="0.25">
      <c r="A121" s="8">
        <v>120</v>
      </c>
      <c r="B121" s="9">
        <v>46039</v>
      </c>
      <c r="C121" s="10">
        <v>0.78125</v>
      </c>
      <c r="D121" s="11" t="s">
        <v>310</v>
      </c>
      <c r="E121" s="11" t="s">
        <v>45</v>
      </c>
      <c r="F121" s="11" t="s">
        <v>311</v>
      </c>
      <c r="G121" s="11" t="s">
        <v>101</v>
      </c>
      <c r="H121" s="11" t="s">
        <v>29</v>
      </c>
      <c r="I121" s="11" t="s">
        <v>30</v>
      </c>
      <c r="J121" s="11" t="s">
        <v>110</v>
      </c>
      <c r="K121" s="11" t="s">
        <v>32</v>
      </c>
      <c r="L121" s="11">
        <v>49</v>
      </c>
      <c r="M121" s="11" t="s">
        <v>517</v>
      </c>
      <c r="N121" s="11" t="s">
        <v>34</v>
      </c>
      <c r="O121" s="11">
        <v>230</v>
      </c>
      <c r="P121" s="11">
        <v>211</v>
      </c>
      <c r="Q121" s="46" t="s">
        <v>518</v>
      </c>
      <c r="R121" s="44" t="s">
        <v>519</v>
      </c>
      <c r="S121" s="11" t="s">
        <v>101</v>
      </c>
      <c r="T121" s="11" t="s">
        <v>40</v>
      </c>
      <c r="U121" s="11" t="s">
        <v>520</v>
      </c>
      <c r="V121" s="11" t="s">
        <v>40</v>
      </c>
      <c r="W121" s="11" t="s">
        <v>40</v>
      </c>
      <c r="X121" s="46" t="s">
        <v>42</v>
      </c>
      <c r="Y121" s="11" t="s">
        <v>388</v>
      </c>
      <c r="Z121" s="11" t="s">
        <v>72</v>
      </c>
      <c r="AA121" s="11">
        <v>0</v>
      </c>
      <c r="AB121" s="11">
        <v>0</v>
      </c>
      <c r="AC121" s="12">
        <v>120546.59</v>
      </c>
      <c r="AD121" s="12">
        <v>0</v>
      </c>
      <c r="AE121" s="12">
        <v>0</v>
      </c>
      <c r="AF121" s="46"/>
    </row>
    <row r="122" spans="1:32" ht="22.5" customHeight="1" x14ac:dyDescent="0.25">
      <c r="A122" s="8">
        <v>121</v>
      </c>
      <c r="B122" s="9">
        <v>46040</v>
      </c>
      <c r="C122" s="10">
        <v>0.89583333333333337</v>
      </c>
      <c r="D122" s="11" t="s">
        <v>491</v>
      </c>
      <c r="E122" s="11" t="s">
        <v>73</v>
      </c>
      <c r="F122" s="11" t="s">
        <v>492</v>
      </c>
      <c r="G122" s="11" t="s">
        <v>63</v>
      </c>
      <c r="H122" s="11" t="s">
        <v>49</v>
      </c>
      <c r="I122" s="11" t="s">
        <v>472</v>
      </c>
      <c r="J122" s="11" t="s">
        <v>31</v>
      </c>
      <c r="K122" s="11" t="s">
        <v>65</v>
      </c>
      <c r="L122" s="11">
        <v>55</v>
      </c>
      <c r="M122" s="11" t="s">
        <v>318</v>
      </c>
      <c r="N122" s="11" t="s">
        <v>165</v>
      </c>
      <c r="O122" s="11">
        <v>140</v>
      </c>
      <c r="P122" s="11">
        <v>77</v>
      </c>
      <c r="Q122" s="46" t="s">
        <v>521</v>
      </c>
      <c r="R122" s="44" t="s">
        <v>522</v>
      </c>
      <c r="S122" s="11" t="s">
        <v>63</v>
      </c>
      <c r="T122" s="11" t="s">
        <v>40</v>
      </c>
      <c r="U122" s="11" t="s">
        <v>523</v>
      </c>
      <c r="V122" s="11" t="s">
        <v>40</v>
      </c>
      <c r="W122" s="11" t="s">
        <v>40</v>
      </c>
      <c r="X122" s="46" t="s">
        <v>42</v>
      </c>
      <c r="Y122" s="11" t="s">
        <v>206</v>
      </c>
      <c r="Z122" s="11" t="s">
        <v>72</v>
      </c>
      <c r="AA122" s="11">
        <v>12</v>
      </c>
      <c r="AB122" s="11">
        <v>0</v>
      </c>
      <c r="AC122" s="12">
        <v>44717.22</v>
      </c>
      <c r="AD122" s="12">
        <v>0</v>
      </c>
      <c r="AE122" s="12">
        <v>0</v>
      </c>
      <c r="AF122" s="46"/>
    </row>
    <row r="123" spans="1:32" ht="22.5" customHeight="1" x14ac:dyDescent="0.25">
      <c r="A123" s="8">
        <v>122</v>
      </c>
      <c r="B123" s="9">
        <v>46041</v>
      </c>
      <c r="C123" s="10">
        <v>7.2916666666666671E-2</v>
      </c>
      <c r="D123" s="11" t="s">
        <v>491</v>
      </c>
      <c r="E123" s="11" t="s">
        <v>73</v>
      </c>
      <c r="F123" s="11" t="s">
        <v>492</v>
      </c>
      <c r="G123" s="11" t="s">
        <v>63</v>
      </c>
      <c r="H123" s="11" t="s">
        <v>49</v>
      </c>
      <c r="I123" s="11" t="s">
        <v>472</v>
      </c>
      <c r="J123" s="11" t="s">
        <v>31</v>
      </c>
      <c r="K123" s="11" t="s">
        <v>65</v>
      </c>
      <c r="L123" s="11">
        <v>55</v>
      </c>
      <c r="M123" s="11" t="s">
        <v>318</v>
      </c>
      <c r="N123" s="11" t="s">
        <v>165</v>
      </c>
      <c r="O123" s="11">
        <v>140</v>
      </c>
      <c r="P123" s="11">
        <v>30</v>
      </c>
      <c r="Q123" s="46" t="s">
        <v>521</v>
      </c>
      <c r="R123" s="44" t="s">
        <v>522</v>
      </c>
      <c r="S123" s="11" t="s">
        <v>63</v>
      </c>
      <c r="T123" s="11" t="s">
        <v>40</v>
      </c>
      <c r="U123" s="11" t="s">
        <v>197</v>
      </c>
      <c r="V123" s="11" t="s">
        <v>40</v>
      </c>
      <c r="W123" s="11" t="s">
        <v>40</v>
      </c>
      <c r="X123" s="46" t="s">
        <v>42</v>
      </c>
      <c r="Y123" s="11" t="s">
        <v>206</v>
      </c>
      <c r="Z123" s="11" t="s">
        <v>72</v>
      </c>
      <c r="AA123" s="11">
        <v>0</v>
      </c>
      <c r="AB123" s="11">
        <v>12</v>
      </c>
      <c r="AC123" s="12">
        <v>44717.22</v>
      </c>
      <c r="AD123" s="12">
        <v>0</v>
      </c>
      <c r="AE123" s="12">
        <v>0</v>
      </c>
      <c r="AF123" s="46"/>
    </row>
    <row r="124" spans="1:32" ht="22.5" customHeight="1" x14ac:dyDescent="0.25">
      <c r="A124" s="8">
        <v>123</v>
      </c>
      <c r="B124" s="9">
        <v>45676</v>
      </c>
      <c r="C124" s="10">
        <v>0.11805555555555555</v>
      </c>
      <c r="D124" s="11" t="s">
        <v>280</v>
      </c>
      <c r="E124" s="11" t="s">
        <v>333</v>
      </c>
      <c r="F124" s="11" t="s">
        <v>478</v>
      </c>
      <c r="G124" s="11" t="s">
        <v>235</v>
      </c>
      <c r="H124" s="11" t="s">
        <v>354</v>
      </c>
      <c r="I124" s="11" t="s">
        <v>50</v>
      </c>
      <c r="J124" s="11" t="s">
        <v>31</v>
      </c>
      <c r="K124" s="11" t="s">
        <v>32</v>
      </c>
      <c r="L124" s="11">
        <v>54</v>
      </c>
      <c r="M124" s="11" t="s">
        <v>479</v>
      </c>
      <c r="N124" s="11" t="s">
        <v>485</v>
      </c>
      <c r="O124" s="11">
        <v>0.25</v>
      </c>
      <c r="P124" s="13">
        <v>0.5</v>
      </c>
      <c r="Q124" s="46" t="s">
        <v>524</v>
      </c>
      <c r="R124" s="44" t="s">
        <v>525</v>
      </c>
      <c r="S124" s="11" t="s">
        <v>179</v>
      </c>
      <c r="T124" s="11" t="s">
        <v>40</v>
      </c>
      <c r="U124" s="11" t="s">
        <v>326</v>
      </c>
      <c r="V124" s="11" t="s">
        <v>40</v>
      </c>
      <c r="W124" s="11" t="s">
        <v>40</v>
      </c>
      <c r="X124" s="46" t="s">
        <v>526</v>
      </c>
      <c r="Y124" s="11" t="s">
        <v>388</v>
      </c>
      <c r="Z124" s="11" t="s">
        <v>72</v>
      </c>
      <c r="AA124" s="11">
        <v>0</v>
      </c>
      <c r="AB124" s="11">
        <v>12</v>
      </c>
      <c r="AC124" s="12">
        <v>34001.440000000002</v>
      </c>
      <c r="AD124" s="12">
        <v>0</v>
      </c>
      <c r="AE124" s="12">
        <v>0</v>
      </c>
      <c r="AF124" s="46"/>
    </row>
    <row r="125" spans="1:32" ht="22.5" customHeight="1" x14ac:dyDescent="0.25">
      <c r="A125" s="8">
        <v>124</v>
      </c>
      <c r="B125" s="9">
        <v>45676</v>
      </c>
      <c r="C125" s="10">
        <v>0.58333333333333337</v>
      </c>
      <c r="D125" s="11" t="s">
        <v>470</v>
      </c>
      <c r="E125" s="11" t="s">
        <v>73</v>
      </c>
      <c r="F125" s="11" t="s">
        <v>471</v>
      </c>
      <c r="G125" s="11" t="s">
        <v>163</v>
      </c>
      <c r="H125" s="11" t="s">
        <v>49</v>
      </c>
      <c r="I125" s="11" t="s">
        <v>472</v>
      </c>
      <c r="J125" s="11" t="s">
        <v>110</v>
      </c>
      <c r="K125" s="11" t="s">
        <v>65</v>
      </c>
      <c r="L125" s="11">
        <v>57</v>
      </c>
      <c r="M125" s="11" t="s">
        <v>527</v>
      </c>
      <c r="N125" s="11" t="s">
        <v>528</v>
      </c>
      <c r="O125" s="11">
        <v>360</v>
      </c>
      <c r="P125" s="11">
        <v>390</v>
      </c>
      <c r="Q125" s="46" t="s">
        <v>529</v>
      </c>
      <c r="R125" s="44" t="s">
        <v>418</v>
      </c>
      <c r="S125" s="11" t="s">
        <v>163</v>
      </c>
      <c r="T125" s="11" t="s">
        <v>40</v>
      </c>
      <c r="U125" s="11" t="s">
        <v>530</v>
      </c>
      <c r="V125" s="11" t="s">
        <v>40</v>
      </c>
      <c r="W125" s="11" t="s">
        <v>40</v>
      </c>
      <c r="X125" s="46" t="s">
        <v>531</v>
      </c>
      <c r="Y125" s="11"/>
      <c r="Z125" s="11" t="s">
        <v>59</v>
      </c>
      <c r="AA125" s="11">
        <v>0</v>
      </c>
      <c r="AB125" s="11">
        <v>30</v>
      </c>
      <c r="AC125" s="12">
        <v>44717.22</v>
      </c>
      <c r="AD125" s="12">
        <v>0</v>
      </c>
      <c r="AE125" s="12">
        <v>0</v>
      </c>
      <c r="AF125" s="46"/>
    </row>
    <row r="126" spans="1:32" ht="22.5" customHeight="1" x14ac:dyDescent="0.25">
      <c r="A126" s="8">
        <v>125</v>
      </c>
      <c r="B126" s="9">
        <v>46041</v>
      </c>
      <c r="C126" s="10">
        <v>0.70138888888888884</v>
      </c>
      <c r="D126" s="11" t="s">
        <v>310</v>
      </c>
      <c r="E126" s="11" t="s">
        <v>45</v>
      </c>
      <c r="F126" s="11" t="s">
        <v>311</v>
      </c>
      <c r="G126" s="11" t="s">
        <v>101</v>
      </c>
      <c r="H126" s="11" t="s">
        <v>29</v>
      </c>
      <c r="I126" s="11" t="s">
        <v>30</v>
      </c>
      <c r="J126" s="11" t="s">
        <v>110</v>
      </c>
      <c r="K126" s="11" t="s">
        <v>32</v>
      </c>
      <c r="L126" s="11">
        <v>49</v>
      </c>
      <c r="M126" s="11" t="s">
        <v>527</v>
      </c>
      <c r="N126" s="11" t="s">
        <v>34</v>
      </c>
      <c r="O126" s="11">
        <v>200</v>
      </c>
      <c r="P126" s="11">
        <v>160</v>
      </c>
      <c r="Q126" s="46" t="s">
        <v>532</v>
      </c>
      <c r="R126" s="44" t="s">
        <v>533</v>
      </c>
      <c r="S126" s="11" t="s">
        <v>205</v>
      </c>
      <c r="T126" s="11" t="s">
        <v>40</v>
      </c>
      <c r="U126" s="11" t="s">
        <v>534</v>
      </c>
      <c r="V126" s="11" t="s">
        <v>40</v>
      </c>
      <c r="W126" s="11" t="s">
        <v>40</v>
      </c>
      <c r="X126" s="46" t="s">
        <v>535</v>
      </c>
      <c r="Y126" s="11" t="s">
        <v>317</v>
      </c>
      <c r="Z126" s="11" t="s">
        <v>59</v>
      </c>
      <c r="AA126" s="11">
        <v>0</v>
      </c>
      <c r="AB126" s="11">
        <v>0</v>
      </c>
      <c r="AC126" s="12">
        <v>120546.59</v>
      </c>
      <c r="AD126" s="12">
        <v>0</v>
      </c>
      <c r="AE126" s="12">
        <v>0</v>
      </c>
      <c r="AF126" s="46"/>
    </row>
    <row r="127" spans="1:32" ht="22.5" customHeight="1" x14ac:dyDescent="0.25">
      <c r="A127" s="8">
        <v>126</v>
      </c>
      <c r="B127" s="9">
        <v>46041</v>
      </c>
      <c r="C127" s="10">
        <v>0.81944444444444442</v>
      </c>
      <c r="D127" s="11" t="s">
        <v>310</v>
      </c>
      <c r="E127" s="11" t="s">
        <v>45</v>
      </c>
      <c r="F127" s="11" t="s">
        <v>311</v>
      </c>
      <c r="G127" s="11" t="s">
        <v>101</v>
      </c>
      <c r="H127" s="11" t="s">
        <v>29</v>
      </c>
      <c r="I127" s="11" t="s">
        <v>30</v>
      </c>
      <c r="J127" s="11" t="s">
        <v>110</v>
      </c>
      <c r="K127" s="11" t="s">
        <v>32</v>
      </c>
      <c r="L127" s="11">
        <v>49</v>
      </c>
      <c r="M127" s="11" t="s">
        <v>527</v>
      </c>
      <c r="N127" s="11" t="s">
        <v>34</v>
      </c>
      <c r="O127" s="11">
        <v>200</v>
      </c>
      <c r="P127" s="11">
        <v>160</v>
      </c>
      <c r="Q127" s="46" t="s">
        <v>536</v>
      </c>
      <c r="R127" s="44" t="s">
        <v>537</v>
      </c>
      <c r="S127" s="11" t="s">
        <v>205</v>
      </c>
      <c r="T127" s="11" t="s">
        <v>40</v>
      </c>
      <c r="U127" s="11" t="s">
        <v>538</v>
      </c>
      <c r="V127" s="11" t="s">
        <v>40</v>
      </c>
      <c r="W127" s="11" t="s">
        <v>40</v>
      </c>
      <c r="X127" s="46" t="s">
        <v>42</v>
      </c>
      <c r="Y127" s="11" t="s">
        <v>388</v>
      </c>
      <c r="Z127" s="11" t="s">
        <v>72</v>
      </c>
      <c r="AA127" s="11">
        <v>0</v>
      </c>
      <c r="AB127" s="11">
        <v>0</v>
      </c>
      <c r="AC127" s="12">
        <v>120546.59</v>
      </c>
      <c r="AD127" s="12">
        <v>0</v>
      </c>
      <c r="AE127" s="12">
        <v>0</v>
      </c>
      <c r="AF127" s="46"/>
    </row>
    <row r="128" spans="1:32" ht="22.5" customHeight="1" x14ac:dyDescent="0.25">
      <c r="A128" s="8">
        <v>127</v>
      </c>
      <c r="B128" s="9">
        <v>46041</v>
      </c>
      <c r="C128" s="10">
        <v>0.82291666666666663</v>
      </c>
      <c r="D128" s="11" t="s">
        <v>491</v>
      </c>
      <c r="E128" s="11" t="s">
        <v>73</v>
      </c>
      <c r="F128" s="11" t="s">
        <v>492</v>
      </c>
      <c r="G128" s="11" t="s">
        <v>63</v>
      </c>
      <c r="H128" s="11" t="s">
        <v>49</v>
      </c>
      <c r="I128" s="11" t="s">
        <v>472</v>
      </c>
      <c r="J128" s="11" t="s">
        <v>110</v>
      </c>
      <c r="K128" s="11" t="s">
        <v>32</v>
      </c>
      <c r="L128" s="11">
        <v>58</v>
      </c>
      <c r="M128" s="11" t="s">
        <v>527</v>
      </c>
      <c r="N128" s="11" t="s">
        <v>34</v>
      </c>
      <c r="O128" s="11">
        <v>350</v>
      </c>
      <c r="P128" s="11">
        <v>370</v>
      </c>
      <c r="Q128" s="46" t="s">
        <v>539</v>
      </c>
      <c r="R128" s="44" t="s">
        <v>540</v>
      </c>
      <c r="S128" s="11" t="s">
        <v>63</v>
      </c>
      <c r="T128" s="11" t="s">
        <v>462</v>
      </c>
      <c r="U128" s="11" t="s">
        <v>197</v>
      </c>
      <c r="V128" s="11" t="s">
        <v>40</v>
      </c>
      <c r="W128" s="11" t="s">
        <v>40</v>
      </c>
      <c r="X128" s="46" t="s">
        <v>42</v>
      </c>
      <c r="Y128" s="11" t="s">
        <v>146</v>
      </c>
      <c r="Z128" s="11" t="s">
        <v>72</v>
      </c>
      <c r="AA128" s="11">
        <v>0</v>
      </c>
      <c r="AB128" s="11">
        <v>16.8</v>
      </c>
      <c r="AC128" s="12">
        <v>44717.22</v>
      </c>
      <c r="AD128" s="12">
        <v>0</v>
      </c>
      <c r="AE128" s="12">
        <v>0</v>
      </c>
      <c r="AF128" s="46"/>
    </row>
    <row r="129" spans="1:32" ht="22.5" customHeight="1" x14ac:dyDescent="0.25">
      <c r="A129" s="8">
        <v>128</v>
      </c>
      <c r="B129" s="9">
        <v>46041</v>
      </c>
      <c r="C129" s="10">
        <v>0.82638888888888884</v>
      </c>
      <c r="D129" s="11" t="s">
        <v>470</v>
      </c>
      <c r="E129" s="11" t="s">
        <v>73</v>
      </c>
      <c r="F129" s="11" t="s">
        <v>471</v>
      </c>
      <c r="G129" s="11" t="s">
        <v>163</v>
      </c>
      <c r="H129" s="11" t="s">
        <v>49</v>
      </c>
      <c r="I129" s="11" t="s">
        <v>472</v>
      </c>
      <c r="J129" s="11" t="s">
        <v>110</v>
      </c>
      <c r="K129" s="11" t="s">
        <v>65</v>
      </c>
      <c r="L129" s="11">
        <v>57</v>
      </c>
      <c r="M129" s="11" t="s">
        <v>527</v>
      </c>
      <c r="N129" s="11" t="s">
        <v>528</v>
      </c>
      <c r="O129" s="11">
        <v>360</v>
      </c>
      <c r="P129" s="11">
        <v>390</v>
      </c>
      <c r="Q129" s="46" t="s">
        <v>541</v>
      </c>
      <c r="R129" s="44" t="s">
        <v>542</v>
      </c>
      <c r="S129" s="11" t="s">
        <v>163</v>
      </c>
      <c r="T129" s="11" t="s">
        <v>40</v>
      </c>
      <c r="U129" s="11" t="s">
        <v>530</v>
      </c>
      <c r="V129" s="11" t="s">
        <v>40</v>
      </c>
      <c r="W129" s="11" t="s">
        <v>40</v>
      </c>
      <c r="X129" s="46" t="s">
        <v>42</v>
      </c>
      <c r="Y129" s="11" t="s">
        <v>71</v>
      </c>
      <c r="Z129" s="11" t="s">
        <v>72</v>
      </c>
      <c r="AA129" s="11">
        <v>0</v>
      </c>
      <c r="AB129" s="11">
        <v>0</v>
      </c>
      <c r="AC129" s="12">
        <v>44717.22</v>
      </c>
      <c r="AD129" s="12">
        <v>0</v>
      </c>
      <c r="AE129" s="12">
        <v>0</v>
      </c>
      <c r="AF129" s="46"/>
    </row>
    <row r="130" spans="1:32" ht="22.5" customHeight="1" x14ac:dyDescent="0.25">
      <c r="A130" s="8">
        <v>129</v>
      </c>
      <c r="B130" s="9">
        <v>46041</v>
      </c>
      <c r="C130" s="10">
        <v>0.84375</v>
      </c>
      <c r="D130" s="11" t="s">
        <v>280</v>
      </c>
      <c r="E130" s="11" t="s">
        <v>333</v>
      </c>
      <c r="F130" s="11" t="s">
        <v>478</v>
      </c>
      <c r="G130" s="11" t="s">
        <v>235</v>
      </c>
      <c r="H130" s="11" t="s">
        <v>354</v>
      </c>
      <c r="I130" s="11" t="s">
        <v>50</v>
      </c>
      <c r="J130" s="11" t="s">
        <v>110</v>
      </c>
      <c r="K130" s="11" t="s">
        <v>32</v>
      </c>
      <c r="L130" s="11">
        <v>54</v>
      </c>
      <c r="M130" s="11" t="s">
        <v>479</v>
      </c>
      <c r="N130" s="11" t="s">
        <v>223</v>
      </c>
      <c r="O130" s="11">
        <v>2200</v>
      </c>
      <c r="P130" s="11">
        <v>1350</v>
      </c>
      <c r="Q130" s="46" t="s">
        <v>543</v>
      </c>
      <c r="R130" s="44" t="s">
        <v>544</v>
      </c>
      <c r="S130" s="11" t="s">
        <v>179</v>
      </c>
      <c r="T130" s="11" t="s">
        <v>40</v>
      </c>
      <c r="U130" s="11" t="s">
        <v>326</v>
      </c>
      <c r="V130" s="11" t="s">
        <v>40</v>
      </c>
      <c r="W130" s="11" t="s">
        <v>40</v>
      </c>
      <c r="X130" s="46" t="s">
        <v>42</v>
      </c>
      <c r="Y130" s="11" t="s">
        <v>388</v>
      </c>
      <c r="Z130" s="11" t="s">
        <v>72</v>
      </c>
      <c r="AA130" s="11">
        <v>0</v>
      </c>
      <c r="AB130" s="11">
        <v>25</v>
      </c>
      <c r="AC130" s="12">
        <v>34001.440000000002</v>
      </c>
      <c r="AD130" s="12">
        <v>0</v>
      </c>
      <c r="AE130" s="12">
        <v>0</v>
      </c>
      <c r="AF130" s="46"/>
    </row>
    <row r="131" spans="1:32" ht="22.5" customHeight="1" x14ac:dyDescent="0.25">
      <c r="A131" s="8">
        <v>130</v>
      </c>
      <c r="B131" s="9">
        <v>46041</v>
      </c>
      <c r="C131" s="10">
        <v>0.85069444444444442</v>
      </c>
      <c r="D131" s="11" t="s">
        <v>491</v>
      </c>
      <c r="E131" s="11" t="s">
        <v>73</v>
      </c>
      <c r="F131" s="11" t="s">
        <v>492</v>
      </c>
      <c r="G131" s="11" t="s">
        <v>63</v>
      </c>
      <c r="H131" s="11" t="s">
        <v>49</v>
      </c>
      <c r="I131" s="11" t="s">
        <v>472</v>
      </c>
      <c r="J131" s="11" t="s">
        <v>110</v>
      </c>
      <c r="K131" s="11" t="s">
        <v>32</v>
      </c>
      <c r="L131" s="11">
        <v>58</v>
      </c>
      <c r="M131" s="11" t="s">
        <v>527</v>
      </c>
      <c r="N131" s="11" t="s">
        <v>34</v>
      </c>
      <c r="O131" s="11">
        <v>350</v>
      </c>
      <c r="P131" s="11">
        <v>370</v>
      </c>
      <c r="Q131" s="46" t="s">
        <v>545</v>
      </c>
      <c r="R131" s="44" t="s">
        <v>546</v>
      </c>
      <c r="S131" s="11" t="s">
        <v>63</v>
      </c>
      <c r="T131" s="11" t="s">
        <v>462</v>
      </c>
      <c r="U131" s="11" t="s">
        <v>197</v>
      </c>
      <c r="V131" s="11" t="s">
        <v>40</v>
      </c>
      <c r="W131" s="11" t="s">
        <v>80</v>
      </c>
      <c r="X131" s="46" t="s">
        <v>547</v>
      </c>
      <c r="Y131" s="11" t="s">
        <v>146</v>
      </c>
      <c r="Z131" s="11" t="s">
        <v>72</v>
      </c>
      <c r="AA131" s="11">
        <v>0</v>
      </c>
      <c r="AB131" s="11">
        <v>0</v>
      </c>
      <c r="AC131" s="12">
        <v>44717.22</v>
      </c>
      <c r="AD131" s="12">
        <v>0</v>
      </c>
      <c r="AE131" s="12">
        <v>0</v>
      </c>
      <c r="AF131" s="46"/>
    </row>
    <row r="132" spans="1:32" ht="22.5" customHeight="1" x14ac:dyDescent="0.25">
      <c r="A132" s="8">
        <v>131</v>
      </c>
      <c r="B132" s="9">
        <v>46041</v>
      </c>
      <c r="C132" s="10">
        <v>0.86458333333333337</v>
      </c>
      <c r="D132" s="11" t="s">
        <v>394</v>
      </c>
      <c r="E132" s="11" t="s">
        <v>45</v>
      </c>
      <c r="F132" s="11" t="s">
        <v>395</v>
      </c>
      <c r="G132" s="11" t="s">
        <v>28</v>
      </c>
      <c r="H132" s="11" t="s">
        <v>396</v>
      </c>
      <c r="I132" s="11" t="s">
        <v>102</v>
      </c>
      <c r="J132" s="11" t="s">
        <v>31</v>
      </c>
      <c r="K132" s="11" t="s">
        <v>32</v>
      </c>
      <c r="L132" s="11">
        <v>59</v>
      </c>
      <c r="M132" s="11" t="s">
        <v>381</v>
      </c>
      <c r="N132" s="11" t="s">
        <v>165</v>
      </c>
      <c r="O132" s="11">
        <v>60</v>
      </c>
      <c r="P132" s="11">
        <v>1</v>
      </c>
      <c r="Q132" s="46" t="s">
        <v>548</v>
      </c>
      <c r="R132" s="44" t="s">
        <v>549</v>
      </c>
      <c r="S132" s="11" t="s">
        <v>28</v>
      </c>
      <c r="T132" s="11" t="s">
        <v>40</v>
      </c>
      <c r="U132" s="11" t="s">
        <v>326</v>
      </c>
      <c r="V132" s="11" t="s">
        <v>40</v>
      </c>
      <c r="W132" s="11" t="s">
        <v>40</v>
      </c>
      <c r="X132" s="46" t="s">
        <v>42</v>
      </c>
      <c r="Y132" s="11" t="s">
        <v>388</v>
      </c>
      <c r="Z132" s="11" t="s">
        <v>72</v>
      </c>
      <c r="AA132" s="11">
        <v>0</v>
      </c>
      <c r="AB132" s="11">
        <v>2.5</v>
      </c>
      <c r="AC132" s="12">
        <v>120546.59</v>
      </c>
      <c r="AD132" s="12">
        <v>0</v>
      </c>
      <c r="AE132" s="12">
        <v>0</v>
      </c>
      <c r="AF132" s="46"/>
    </row>
    <row r="133" spans="1:32" ht="22.5" customHeight="1" x14ac:dyDescent="0.25">
      <c r="A133" s="8">
        <v>132</v>
      </c>
      <c r="B133" s="9">
        <v>46041</v>
      </c>
      <c r="C133" s="10">
        <v>0.88888888888888884</v>
      </c>
      <c r="D133" s="11" t="s">
        <v>310</v>
      </c>
      <c r="E133" s="11" t="s">
        <v>45</v>
      </c>
      <c r="F133" s="11" t="s">
        <v>311</v>
      </c>
      <c r="G133" s="11" t="s">
        <v>101</v>
      </c>
      <c r="H133" s="11" t="s">
        <v>29</v>
      </c>
      <c r="I133" s="11" t="s">
        <v>30</v>
      </c>
      <c r="J133" s="11" t="s">
        <v>110</v>
      </c>
      <c r="K133" s="11" t="s">
        <v>32</v>
      </c>
      <c r="L133" s="11">
        <v>49</v>
      </c>
      <c r="M133" s="11" t="s">
        <v>527</v>
      </c>
      <c r="N133" s="11" t="s">
        <v>34</v>
      </c>
      <c r="O133" s="11">
        <v>200</v>
      </c>
      <c r="P133" s="11">
        <v>160</v>
      </c>
      <c r="Q133" s="46" t="s">
        <v>550</v>
      </c>
      <c r="R133" s="44" t="s">
        <v>537</v>
      </c>
      <c r="S133" s="11" t="s">
        <v>205</v>
      </c>
      <c r="T133" s="11" t="s">
        <v>40</v>
      </c>
      <c r="U133" s="11" t="s">
        <v>538</v>
      </c>
      <c r="V133" s="11" t="s">
        <v>40</v>
      </c>
      <c r="W133" s="11" t="s">
        <v>80</v>
      </c>
      <c r="X133" s="46" t="s">
        <v>547</v>
      </c>
      <c r="Y133" s="11" t="s">
        <v>388</v>
      </c>
      <c r="Z133" s="11" t="s">
        <v>72</v>
      </c>
      <c r="AA133" s="11">
        <v>0</v>
      </c>
      <c r="AB133" s="11">
        <v>0</v>
      </c>
      <c r="AC133" s="12">
        <v>120546.59</v>
      </c>
      <c r="AD133" s="12">
        <v>0</v>
      </c>
      <c r="AE133" s="12">
        <v>0</v>
      </c>
      <c r="AF133" s="46"/>
    </row>
    <row r="134" spans="1:32" ht="22.5" customHeight="1" x14ac:dyDescent="0.25">
      <c r="A134" s="8">
        <v>133</v>
      </c>
      <c r="B134" s="9">
        <v>46041</v>
      </c>
      <c r="C134" s="10">
        <v>0.95833333333333337</v>
      </c>
      <c r="D134" s="11" t="s">
        <v>551</v>
      </c>
      <c r="E134" s="11" t="s">
        <v>73</v>
      </c>
      <c r="F134" s="11" t="s">
        <v>552</v>
      </c>
      <c r="G134" s="11" t="s">
        <v>553</v>
      </c>
      <c r="H134" s="11" t="s">
        <v>49</v>
      </c>
      <c r="I134" s="11" t="s">
        <v>472</v>
      </c>
      <c r="J134" s="11" t="s">
        <v>110</v>
      </c>
      <c r="K134" s="11" t="s">
        <v>32</v>
      </c>
      <c r="L134" s="11">
        <v>60</v>
      </c>
      <c r="M134" s="11" t="s">
        <v>381</v>
      </c>
      <c r="N134" s="11" t="s">
        <v>223</v>
      </c>
      <c r="O134" s="11">
        <v>530</v>
      </c>
      <c r="P134" s="11">
        <v>200</v>
      </c>
      <c r="Q134" s="46" t="s">
        <v>554</v>
      </c>
      <c r="R134" s="44" t="s">
        <v>555</v>
      </c>
      <c r="S134" s="11" t="s">
        <v>553</v>
      </c>
      <c r="T134" s="11" t="s">
        <v>40</v>
      </c>
      <c r="U134" s="11" t="s">
        <v>530</v>
      </c>
      <c r="V134" s="11" t="s">
        <v>40</v>
      </c>
      <c r="W134" s="11" t="s">
        <v>40</v>
      </c>
      <c r="X134" s="46" t="s">
        <v>42</v>
      </c>
      <c r="Y134" s="11" t="s">
        <v>513</v>
      </c>
      <c r="Z134" s="11" t="s">
        <v>72</v>
      </c>
      <c r="AA134" s="11">
        <v>0</v>
      </c>
      <c r="AB134" s="11">
        <v>24.8</v>
      </c>
      <c r="AC134" s="12">
        <v>44717.22</v>
      </c>
      <c r="AD134" s="12">
        <v>0</v>
      </c>
      <c r="AE134" s="12">
        <v>0</v>
      </c>
      <c r="AF134" s="46"/>
    </row>
    <row r="135" spans="1:32" ht="22.5" customHeight="1" x14ac:dyDescent="0.25">
      <c r="A135" s="8">
        <v>134</v>
      </c>
      <c r="B135" s="9">
        <v>46041</v>
      </c>
      <c r="C135" s="10">
        <v>0.97569444444444442</v>
      </c>
      <c r="D135" s="11" t="s">
        <v>491</v>
      </c>
      <c r="E135" s="11" t="s">
        <v>73</v>
      </c>
      <c r="F135" s="11" t="s">
        <v>492</v>
      </c>
      <c r="G135" s="11" t="s">
        <v>63</v>
      </c>
      <c r="H135" s="11" t="s">
        <v>49</v>
      </c>
      <c r="I135" s="11" t="s">
        <v>472</v>
      </c>
      <c r="J135" s="11" t="s">
        <v>110</v>
      </c>
      <c r="K135" s="11" t="s">
        <v>32</v>
      </c>
      <c r="L135" s="11">
        <v>58</v>
      </c>
      <c r="M135" s="11" t="s">
        <v>527</v>
      </c>
      <c r="N135" s="11" t="s">
        <v>34</v>
      </c>
      <c r="O135" s="11">
        <v>350</v>
      </c>
      <c r="P135" s="11">
        <v>370</v>
      </c>
      <c r="Q135" s="46" t="s">
        <v>556</v>
      </c>
      <c r="R135" s="44" t="s">
        <v>546</v>
      </c>
      <c r="S135" s="11" t="s">
        <v>63</v>
      </c>
      <c r="T135" s="11" t="s">
        <v>462</v>
      </c>
      <c r="U135" s="11" t="s">
        <v>197</v>
      </c>
      <c r="V135" s="11" t="s">
        <v>40</v>
      </c>
      <c r="W135" s="11" t="s">
        <v>80</v>
      </c>
      <c r="X135" s="46" t="s">
        <v>547</v>
      </c>
      <c r="Y135" s="11" t="s">
        <v>557</v>
      </c>
      <c r="Z135" s="11" t="s">
        <v>72</v>
      </c>
      <c r="AA135" s="11">
        <v>0</v>
      </c>
      <c r="AB135" s="11">
        <v>0</v>
      </c>
      <c r="AC135" s="12">
        <v>44717.22</v>
      </c>
      <c r="AD135" s="12">
        <v>0</v>
      </c>
      <c r="AE135" s="12">
        <v>0</v>
      </c>
      <c r="AF135" s="46"/>
    </row>
    <row r="136" spans="1:32" ht="22.5" customHeight="1" x14ac:dyDescent="0.25">
      <c r="A136" s="8">
        <v>135</v>
      </c>
      <c r="B136" s="9">
        <v>46042</v>
      </c>
      <c r="C136" s="10">
        <v>0.1875</v>
      </c>
      <c r="D136" s="11" t="s">
        <v>470</v>
      </c>
      <c r="E136" s="11" t="s">
        <v>73</v>
      </c>
      <c r="F136" s="11" t="s">
        <v>471</v>
      </c>
      <c r="G136" s="11" t="s">
        <v>163</v>
      </c>
      <c r="H136" s="11" t="s">
        <v>49</v>
      </c>
      <c r="I136" s="11" t="s">
        <v>472</v>
      </c>
      <c r="J136" s="11" t="s">
        <v>92</v>
      </c>
      <c r="K136" s="11" t="s">
        <v>65</v>
      </c>
      <c r="L136" s="11">
        <v>57</v>
      </c>
      <c r="M136" s="11" t="s">
        <v>558</v>
      </c>
      <c r="N136" s="11" t="s">
        <v>559</v>
      </c>
      <c r="O136" s="11"/>
      <c r="P136" s="11"/>
      <c r="Q136" s="46" t="s">
        <v>560</v>
      </c>
      <c r="R136" s="44" t="s">
        <v>561</v>
      </c>
      <c r="S136" s="11">
        <v>8.375</v>
      </c>
      <c r="T136" s="11" t="s">
        <v>462</v>
      </c>
      <c r="U136" s="11" t="s">
        <v>176</v>
      </c>
      <c r="V136" s="11" t="s">
        <v>40</v>
      </c>
      <c r="W136" s="11" t="s">
        <v>80</v>
      </c>
      <c r="X136" s="46"/>
      <c r="Y136" s="11" t="s">
        <v>513</v>
      </c>
      <c r="Z136" s="11" t="s">
        <v>72</v>
      </c>
      <c r="AA136" s="11">
        <v>0</v>
      </c>
      <c r="AB136" s="11">
        <v>1.25</v>
      </c>
      <c r="AC136" s="12">
        <v>44717.22</v>
      </c>
      <c r="AD136" s="12">
        <f>AA136/24*AC136</f>
        <v>0</v>
      </c>
      <c r="AE136" s="12">
        <f>AB136/24*AC136</f>
        <v>2329.0218750000004</v>
      </c>
      <c r="AF136" s="46"/>
    </row>
    <row r="137" spans="1:32" ht="22.5" customHeight="1" x14ac:dyDescent="0.25">
      <c r="A137" s="8">
        <v>136</v>
      </c>
      <c r="B137" s="9">
        <v>46042</v>
      </c>
      <c r="C137" s="10">
        <v>0.625</v>
      </c>
      <c r="D137" s="11" t="s">
        <v>280</v>
      </c>
      <c r="E137" s="11" t="s">
        <v>333</v>
      </c>
      <c r="F137" s="11" t="s">
        <v>478</v>
      </c>
      <c r="G137" s="11" t="s">
        <v>235</v>
      </c>
      <c r="H137" s="11" t="s">
        <v>354</v>
      </c>
      <c r="I137" s="11" t="s">
        <v>50</v>
      </c>
      <c r="J137" s="11" t="s">
        <v>110</v>
      </c>
      <c r="K137" s="11" t="s">
        <v>32</v>
      </c>
      <c r="L137" s="11">
        <v>54</v>
      </c>
      <c r="M137" s="11" t="s">
        <v>562</v>
      </c>
      <c r="N137" s="11" t="s">
        <v>400</v>
      </c>
      <c r="O137" s="11">
        <v>220</v>
      </c>
      <c r="P137" s="11">
        <v>240</v>
      </c>
      <c r="Q137" s="46" t="s">
        <v>563</v>
      </c>
      <c r="R137" s="44" t="s">
        <v>564</v>
      </c>
      <c r="S137" s="11" t="s">
        <v>179</v>
      </c>
      <c r="T137" s="11" t="s">
        <v>40</v>
      </c>
      <c r="U137" s="11" t="s">
        <v>326</v>
      </c>
      <c r="V137" s="11" t="s">
        <v>40</v>
      </c>
      <c r="W137" s="11" t="s">
        <v>40</v>
      </c>
      <c r="X137" s="46" t="s">
        <v>42</v>
      </c>
      <c r="Y137" s="11" t="s">
        <v>317</v>
      </c>
      <c r="Z137" s="11" t="s">
        <v>59</v>
      </c>
      <c r="AA137" s="11">
        <v>0</v>
      </c>
      <c r="AB137" s="11">
        <v>25</v>
      </c>
      <c r="AC137" s="12">
        <v>34001.440000000002</v>
      </c>
      <c r="AD137" s="12">
        <v>0</v>
      </c>
      <c r="AE137" s="12">
        <v>0</v>
      </c>
      <c r="AF137" s="46"/>
    </row>
    <row r="138" spans="1:32" ht="22.5" customHeight="1" x14ac:dyDescent="0.25">
      <c r="A138" s="8">
        <v>137</v>
      </c>
      <c r="B138" s="9">
        <v>46042</v>
      </c>
      <c r="C138" s="10">
        <v>0.63541666666666663</v>
      </c>
      <c r="D138" s="11" t="s">
        <v>491</v>
      </c>
      <c r="E138" s="11" t="s">
        <v>73</v>
      </c>
      <c r="F138" s="11" t="s">
        <v>492</v>
      </c>
      <c r="G138" s="11" t="s">
        <v>63</v>
      </c>
      <c r="H138" s="11" t="s">
        <v>49</v>
      </c>
      <c r="I138" s="11" t="s">
        <v>472</v>
      </c>
      <c r="J138" s="11" t="s">
        <v>110</v>
      </c>
      <c r="K138" s="11" t="s">
        <v>32</v>
      </c>
      <c r="L138" s="11">
        <v>58</v>
      </c>
      <c r="M138" s="11" t="s">
        <v>527</v>
      </c>
      <c r="N138" s="11" t="s">
        <v>34</v>
      </c>
      <c r="O138" s="11">
        <v>350</v>
      </c>
      <c r="P138" s="11">
        <v>370</v>
      </c>
      <c r="Q138" s="46" t="s">
        <v>565</v>
      </c>
      <c r="R138" s="44" t="s">
        <v>566</v>
      </c>
      <c r="S138" s="11" t="s">
        <v>63</v>
      </c>
      <c r="T138" s="11" t="s">
        <v>462</v>
      </c>
      <c r="U138" s="11" t="s">
        <v>197</v>
      </c>
      <c r="V138" s="11" t="s">
        <v>40</v>
      </c>
      <c r="W138" s="11" t="s">
        <v>40</v>
      </c>
      <c r="X138" s="46" t="s">
        <v>42</v>
      </c>
      <c r="Y138" s="11" t="s">
        <v>567</v>
      </c>
      <c r="Z138" s="11" t="s">
        <v>59</v>
      </c>
      <c r="AA138" s="11">
        <v>0</v>
      </c>
      <c r="AB138" s="11">
        <v>0</v>
      </c>
      <c r="AC138" s="12">
        <v>44717.22</v>
      </c>
      <c r="AD138" s="12">
        <v>0</v>
      </c>
      <c r="AE138" s="12">
        <v>0</v>
      </c>
      <c r="AF138" s="46"/>
    </row>
    <row r="139" spans="1:32" ht="22.5" customHeight="1" x14ac:dyDescent="0.25">
      <c r="A139" s="8">
        <v>138</v>
      </c>
      <c r="B139" s="9">
        <v>46042</v>
      </c>
      <c r="C139" s="10">
        <v>0.64583333333333337</v>
      </c>
      <c r="D139" s="11" t="s">
        <v>310</v>
      </c>
      <c r="E139" s="11" t="s">
        <v>45</v>
      </c>
      <c r="F139" s="11" t="s">
        <v>311</v>
      </c>
      <c r="G139" s="11" t="s">
        <v>101</v>
      </c>
      <c r="H139" s="11" t="s">
        <v>29</v>
      </c>
      <c r="I139" s="11" t="s">
        <v>30</v>
      </c>
      <c r="J139" s="11" t="s">
        <v>92</v>
      </c>
      <c r="K139" s="11" t="s">
        <v>65</v>
      </c>
      <c r="L139" s="11">
        <v>49</v>
      </c>
      <c r="M139" s="11" t="s">
        <v>568</v>
      </c>
      <c r="N139" s="11" t="s">
        <v>94</v>
      </c>
      <c r="O139" s="11"/>
      <c r="P139" s="11"/>
      <c r="Q139" s="46" t="s">
        <v>569</v>
      </c>
      <c r="R139" s="44" t="s">
        <v>570</v>
      </c>
      <c r="S139" s="11" t="s">
        <v>101</v>
      </c>
      <c r="T139" s="11" t="s">
        <v>462</v>
      </c>
      <c r="U139" s="11" t="s">
        <v>571</v>
      </c>
      <c r="V139" s="11" t="s">
        <v>80</v>
      </c>
      <c r="W139" s="11" t="s">
        <v>572</v>
      </c>
      <c r="X139" s="46"/>
      <c r="Y139" s="11" t="s">
        <v>317</v>
      </c>
      <c r="Z139" s="11" t="s">
        <v>59</v>
      </c>
      <c r="AA139" s="11">
        <v>0</v>
      </c>
      <c r="AB139" s="11">
        <v>0</v>
      </c>
      <c r="AC139" s="12">
        <v>120546.59</v>
      </c>
      <c r="AD139" s="12">
        <f>AA139/24*AC139</f>
        <v>0</v>
      </c>
      <c r="AE139" s="12">
        <f>AB139/24*AC139</f>
        <v>0</v>
      </c>
      <c r="AF139" s="46"/>
    </row>
    <row r="140" spans="1:32" ht="22.5" customHeight="1" x14ac:dyDescent="0.25">
      <c r="A140" s="8">
        <v>139</v>
      </c>
      <c r="B140" s="9">
        <v>46042</v>
      </c>
      <c r="C140" s="10">
        <v>0.63541666666666663</v>
      </c>
      <c r="D140" s="11" t="s">
        <v>491</v>
      </c>
      <c r="E140" s="11" t="s">
        <v>73</v>
      </c>
      <c r="F140" s="11" t="s">
        <v>492</v>
      </c>
      <c r="G140" s="11" t="s">
        <v>63</v>
      </c>
      <c r="H140" s="11" t="s">
        <v>49</v>
      </c>
      <c r="I140" s="11" t="s">
        <v>472</v>
      </c>
      <c r="J140" s="11" t="s">
        <v>110</v>
      </c>
      <c r="K140" s="11" t="s">
        <v>32</v>
      </c>
      <c r="L140" s="11">
        <v>58</v>
      </c>
      <c r="M140" s="11" t="s">
        <v>573</v>
      </c>
      <c r="N140" s="11" t="s">
        <v>34</v>
      </c>
      <c r="O140" s="11">
        <v>350</v>
      </c>
      <c r="P140" s="11">
        <v>370</v>
      </c>
      <c r="Q140" s="46" t="s">
        <v>574</v>
      </c>
      <c r="R140" s="44" t="s">
        <v>575</v>
      </c>
      <c r="S140" s="11" t="s">
        <v>63</v>
      </c>
      <c r="T140" s="11" t="s">
        <v>462</v>
      </c>
      <c r="U140" s="11" t="s">
        <v>197</v>
      </c>
      <c r="V140" s="11" t="s">
        <v>40</v>
      </c>
      <c r="W140" s="11" t="s">
        <v>40</v>
      </c>
      <c r="X140" s="46" t="s">
        <v>42</v>
      </c>
      <c r="Y140" s="11" t="s">
        <v>567</v>
      </c>
      <c r="Z140" s="11" t="s">
        <v>59</v>
      </c>
      <c r="AA140" s="11">
        <v>0</v>
      </c>
      <c r="AB140" s="11">
        <v>0</v>
      </c>
      <c r="AC140" s="12">
        <v>44717.22</v>
      </c>
      <c r="AD140" s="12">
        <v>0</v>
      </c>
      <c r="AE140" s="12">
        <v>0</v>
      </c>
      <c r="AF140" s="46"/>
    </row>
    <row r="141" spans="1:32" ht="22.5" customHeight="1" x14ac:dyDescent="0.25">
      <c r="A141" s="8">
        <v>140</v>
      </c>
      <c r="B141" s="9">
        <v>46042</v>
      </c>
      <c r="C141" s="10">
        <v>0.86111111111111116</v>
      </c>
      <c r="D141" s="11" t="s">
        <v>394</v>
      </c>
      <c r="E141" s="11" t="s">
        <v>45</v>
      </c>
      <c r="F141" s="11" t="s">
        <v>395</v>
      </c>
      <c r="G141" s="11" t="s">
        <v>28</v>
      </c>
      <c r="H141" s="11" t="s">
        <v>396</v>
      </c>
      <c r="I141" s="11" t="s">
        <v>102</v>
      </c>
      <c r="J141" s="11" t="s">
        <v>31</v>
      </c>
      <c r="K141" s="11" t="s">
        <v>32</v>
      </c>
      <c r="L141" s="11">
        <v>59</v>
      </c>
      <c r="M141" s="11" t="s">
        <v>381</v>
      </c>
      <c r="N141" s="11" t="s">
        <v>52</v>
      </c>
      <c r="O141" s="11">
        <v>30</v>
      </c>
      <c r="P141" s="11">
        <v>32</v>
      </c>
      <c r="Q141" s="46" t="s">
        <v>576</v>
      </c>
      <c r="R141" s="44" t="s">
        <v>549</v>
      </c>
      <c r="S141" s="11" t="s">
        <v>28</v>
      </c>
      <c r="T141" s="11" t="s">
        <v>40</v>
      </c>
      <c r="U141" s="11" t="s">
        <v>577</v>
      </c>
      <c r="V141" s="11" t="s">
        <v>80</v>
      </c>
      <c r="W141" s="11" t="s">
        <v>80</v>
      </c>
      <c r="X141" s="46"/>
      <c r="Y141" s="11" t="s">
        <v>309</v>
      </c>
      <c r="Z141" s="11" t="s">
        <v>123</v>
      </c>
      <c r="AA141" s="11">
        <v>0</v>
      </c>
      <c r="AB141" s="11">
        <v>0</v>
      </c>
      <c r="AC141" s="12">
        <v>120546.59</v>
      </c>
      <c r="AD141" s="12">
        <v>0</v>
      </c>
      <c r="AE141" s="12">
        <v>0</v>
      </c>
      <c r="AF141" s="46"/>
    </row>
    <row r="142" spans="1:32" ht="22.5" customHeight="1" x14ac:dyDescent="0.25">
      <c r="A142" s="8">
        <v>141</v>
      </c>
      <c r="B142" s="14">
        <v>46043</v>
      </c>
      <c r="C142" s="15">
        <v>6.25E-2</v>
      </c>
      <c r="D142" s="16" t="s">
        <v>491</v>
      </c>
      <c r="E142" s="17" t="s">
        <v>73</v>
      </c>
      <c r="F142" s="16" t="s">
        <v>492</v>
      </c>
      <c r="G142" s="16" t="s">
        <v>63</v>
      </c>
      <c r="H142" s="16" t="s">
        <v>49</v>
      </c>
      <c r="I142" s="16" t="s">
        <v>472</v>
      </c>
      <c r="J142" s="16" t="s">
        <v>214</v>
      </c>
      <c r="K142" s="16" t="s">
        <v>65</v>
      </c>
      <c r="L142" s="16">
        <v>61</v>
      </c>
      <c r="M142" s="16" t="s">
        <v>558</v>
      </c>
      <c r="N142" s="16" t="s">
        <v>559</v>
      </c>
      <c r="O142" s="16"/>
      <c r="P142" s="16"/>
      <c r="Q142" s="47" t="s">
        <v>578</v>
      </c>
      <c r="R142" s="44" t="s">
        <v>561</v>
      </c>
      <c r="S142" s="16" t="s">
        <v>63</v>
      </c>
      <c r="T142" s="16" t="s">
        <v>462</v>
      </c>
      <c r="U142" s="16" t="s">
        <v>579</v>
      </c>
      <c r="V142" s="17" t="s">
        <v>40</v>
      </c>
      <c r="W142" s="17" t="s">
        <v>40</v>
      </c>
      <c r="X142" s="47"/>
      <c r="Y142" s="16" t="s">
        <v>557</v>
      </c>
      <c r="Z142" s="16" t="s">
        <v>123</v>
      </c>
      <c r="AA142" s="17">
        <v>0</v>
      </c>
      <c r="AB142" s="17">
        <v>0</v>
      </c>
      <c r="AC142" s="19">
        <v>44717.22</v>
      </c>
      <c r="AD142" s="12">
        <f>AA142/24*AC142</f>
        <v>0</v>
      </c>
      <c r="AE142" s="12">
        <f>AB142/24*AC142</f>
        <v>0</v>
      </c>
      <c r="AF142" s="47"/>
    </row>
    <row r="143" spans="1:32" ht="22.5" customHeight="1" x14ac:dyDescent="0.25">
      <c r="A143" s="8">
        <v>142</v>
      </c>
      <c r="B143" s="9">
        <v>46043</v>
      </c>
      <c r="C143" s="10">
        <v>0.64583333333333337</v>
      </c>
      <c r="D143" s="11" t="s">
        <v>580</v>
      </c>
      <c r="E143" s="11" t="s">
        <v>73</v>
      </c>
      <c r="F143" s="11" t="s">
        <v>581</v>
      </c>
      <c r="G143" s="11" t="s">
        <v>163</v>
      </c>
      <c r="H143" s="11" t="s">
        <v>49</v>
      </c>
      <c r="I143" s="11" t="s">
        <v>582</v>
      </c>
      <c r="J143" s="11" t="s">
        <v>110</v>
      </c>
      <c r="K143" s="11" t="s">
        <v>32</v>
      </c>
      <c r="L143" s="11">
        <v>62</v>
      </c>
      <c r="M143" s="11" t="s">
        <v>318</v>
      </c>
      <c r="N143" s="11" t="s">
        <v>34</v>
      </c>
      <c r="O143" s="11">
        <v>360</v>
      </c>
      <c r="P143" s="11">
        <v>380</v>
      </c>
      <c r="Q143" s="46" t="s">
        <v>583</v>
      </c>
      <c r="R143" s="44" t="s">
        <v>584</v>
      </c>
      <c r="S143" s="11" t="s">
        <v>205</v>
      </c>
      <c r="T143" s="11" t="s">
        <v>40</v>
      </c>
      <c r="U143" s="11" t="s">
        <v>176</v>
      </c>
      <c r="V143" s="11" t="s">
        <v>40</v>
      </c>
      <c r="W143" s="11" t="s">
        <v>40</v>
      </c>
      <c r="X143" s="46" t="s">
        <v>42</v>
      </c>
      <c r="Y143" s="11" t="s">
        <v>71</v>
      </c>
      <c r="Z143" s="11" t="s">
        <v>72</v>
      </c>
      <c r="AA143" s="11">
        <v>0</v>
      </c>
      <c r="AB143" s="11">
        <v>30</v>
      </c>
      <c r="AC143" s="12">
        <v>44717.22</v>
      </c>
      <c r="AD143" s="12">
        <v>0</v>
      </c>
      <c r="AE143" s="12">
        <v>0</v>
      </c>
      <c r="AF143" s="46"/>
    </row>
    <row r="144" spans="1:32" ht="22.5" customHeight="1" x14ac:dyDescent="0.25">
      <c r="A144" s="8">
        <v>143</v>
      </c>
      <c r="B144" s="9">
        <v>46043</v>
      </c>
      <c r="C144" s="10">
        <v>0.86250000000000004</v>
      </c>
      <c r="D144" s="11" t="s">
        <v>585</v>
      </c>
      <c r="E144" s="11" t="s">
        <v>73</v>
      </c>
      <c r="F144" s="11" t="s">
        <v>586</v>
      </c>
      <c r="G144" s="11" t="s">
        <v>587</v>
      </c>
      <c r="H144" s="11" t="s">
        <v>49</v>
      </c>
      <c r="I144" s="11" t="s">
        <v>472</v>
      </c>
      <c r="J144" s="11" t="s">
        <v>31</v>
      </c>
      <c r="K144" s="11" t="s">
        <v>65</v>
      </c>
      <c r="L144" s="11">
        <v>61</v>
      </c>
      <c r="M144" s="11" t="s">
        <v>527</v>
      </c>
      <c r="N144" s="11" t="s">
        <v>75</v>
      </c>
      <c r="O144" s="11" t="s">
        <v>588</v>
      </c>
      <c r="P144" s="11" t="s">
        <v>589</v>
      </c>
      <c r="Q144" s="46" t="s">
        <v>590</v>
      </c>
      <c r="R144" s="44" t="s">
        <v>591</v>
      </c>
      <c r="S144" s="11" t="s">
        <v>587</v>
      </c>
      <c r="T144" s="11" t="s">
        <v>462</v>
      </c>
      <c r="U144" s="11" t="s">
        <v>592</v>
      </c>
      <c r="V144" s="11" t="s">
        <v>80</v>
      </c>
      <c r="W144" s="11" t="s">
        <v>80</v>
      </c>
      <c r="X144" s="46"/>
      <c r="Y144" s="11" t="s">
        <v>146</v>
      </c>
      <c r="Z144" s="11" t="s">
        <v>123</v>
      </c>
      <c r="AA144" s="11">
        <v>0</v>
      </c>
      <c r="AB144" s="11">
        <v>0</v>
      </c>
      <c r="AC144" s="12">
        <v>44717.22</v>
      </c>
      <c r="AD144" s="12">
        <v>0</v>
      </c>
      <c r="AE144" s="12">
        <v>0</v>
      </c>
      <c r="AF144" s="46"/>
    </row>
    <row r="145" spans="1:32" ht="22.5" customHeight="1" x14ac:dyDescent="0.25">
      <c r="A145" s="8">
        <v>144</v>
      </c>
      <c r="B145" s="9">
        <v>46043</v>
      </c>
      <c r="C145" s="10">
        <v>0.875</v>
      </c>
      <c r="D145" s="11" t="s">
        <v>280</v>
      </c>
      <c r="E145" s="11" t="s">
        <v>333</v>
      </c>
      <c r="F145" s="11" t="s">
        <v>478</v>
      </c>
      <c r="G145" s="11" t="s">
        <v>235</v>
      </c>
      <c r="H145" s="11" t="s">
        <v>354</v>
      </c>
      <c r="I145" s="11" t="s">
        <v>50</v>
      </c>
      <c r="J145" s="11" t="s">
        <v>110</v>
      </c>
      <c r="K145" s="11" t="s">
        <v>32</v>
      </c>
      <c r="L145" s="11">
        <v>54</v>
      </c>
      <c r="M145" s="11" t="s">
        <v>593</v>
      </c>
      <c r="N145" s="11" t="s">
        <v>400</v>
      </c>
      <c r="O145" s="11">
        <v>209</v>
      </c>
      <c r="P145" s="11">
        <v>216</v>
      </c>
      <c r="Q145" s="46" t="s">
        <v>594</v>
      </c>
      <c r="R145" s="44" t="s">
        <v>564</v>
      </c>
      <c r="S145" s="11" t="s">
        <v>179</v>
      </c>
      <c r="T145" s="11" t="s">
        <v>40</v>
      </c>
      <c r="U145" s="11" t="s">
        <v>595</v>
      </c>
      <c r="V145" s="11" t="s">
        <v>80</v>
      </c>
      <c r="W145" s="11" t="s">
        <v>80</v>
      </c>
      <c r="X145" s="46"/>
      <c r="Y145" s="11" t="s">
        <v>309</v>
      </c>
      <c r="Z145" s="11" t="s">
        <v>123</v>
      </c>
      <c r="AA145" s="11">
        <v>0</v>
      </c>
      <c r="AB145" s="11">
        <v>0</v>
      </c>
      <c r="AC145" s="12">
        <v>34001.440000000002</v>
      </c>
      <c r="AD145" s="12">
        <v>0</v>
      </c>
      <c r="AE145" s="12">
        <v>0</v>
      </c>
      <c r="AF145" s="46"/>
    </row>
    <row r="146" spans="1:32" ht="22.5" customHeight="1" x14ac:dyDescent="0.25">
      <c r="A146" s="8">
        <v>145</v>
      </c>
      <c r="B146" s="9">
        <v>46043</v>
      </c>
      <c r="C146" s="10">
        <v>0.96527777777777779</v>
      </c>
      <c r="D146" s="11" t="s">
        <v>394</v>
      </c>
      <c r="E146" s="11" t="s">
        <v>45</v>
      </c>
      <c r="F146" s="11" t="s">
        <v>395</v>
      </c>
      <c r="G146" s="11" t="s">
        <v>28</v>
      </c>
      <c r="H146" s="11" t="s">
        <v>396</v>
      </c>
      <c r="I146" s="11" t="s">
        <v>102</v>
      </c>
      <c r="J146" s="11" t="s">
        <v>110</v>
      </c>
      <c r="K146" s="11" t="s">
        <v>32</v>
      </c>
      <c r="L146" s="11">
        <v>63</v>
      </c>
      <c r="M146" s="11" t="s">
        <v>596</v>
      </c>
      <c r="N146" s="11" t="s">
        <v>400</v>
      </c>
      <c r="O146" s="11">
        <v>290</v>
      </c>
      <c r="P146" s="11">
        <v>305</v>
      </c>
      <c r="Q146" s="46" t="s">
        <v>597</v>
      </c>
      <c r="R146" s="44" t="s">
        <v>598</v>
      </c>
      <c r="S146" s="11" t="s">
        <v>28</v>
      </c>
      <c r="T146" s="11" t="s">
        <v>40</v>
      </c>
      <c r="U146" s="11" t="s">
        <v>599</v>
      </c>
      <c r="V146" s="11" t="s">
        <v>40</v>
      </c>
      <c r="W146" s="11" t="s">
        <v>40</v>
      </c>
      <c r="X146" s="46" t="s">
        <v>600</v>
      </c>
      <c r="Y146" s="11" t="s">
        <v>309</v>
      </c>
      <c r="Z146" s="11" t="s">
        <v>123</v>
      </c>
      <c r="AA146" s="11">
        <v>0</v>
      </c>
      <c r="AB146" s="11">
        <v>2.5</v>
      </c>
      <c r="AC146" s="12">
        <v>120546.59</v>
      </c>
      <c r="AD146" s="12">
        <v>0</v>
      </c>
      <c r="AE146" s="12">
        <v>0</v>
      </c>
      <c r="AF146" s="46"/>
    </row>
    <row r="147" spans="1:32" ht="22.5" customHeight="1" x14ac:dyDescent="0.25">
      <c r="A147" s="8">
        <v>146</v>
      </c>
      <c r="B147" s="20">
        <v>46044</v>
      </c>
      <c r="C147" s="21">
        <v>4.5138888888888888E-2</v>
      </c>
      <c r="D147" s="17" t="s">
        <v>601</v>
      </c>
      <c r="E147" s="17" t="s">
        <v>73</v>
      </c>
      <c r="F147" s="17" t="s">
        <v>602</v>
      </c>
      <c r="G147" s="17" t="s">
        <v>603</v>
      </c>
      <c r="H147" s="17" t="s">
        <v>49</v>
      </c>
      <c r="I147" s="17" t="s">
        <v>472</v>
      </c>
      <c r="J147" s="17" t="s">
        <v>214</v>
      </c>
      <c r="K147" s="17" t="s">
        <v>65</v>
      </c>
      <c r="L147" s="17">
        <v>64</v>
      </c>
      <c r="M147" s="17" t="s">
        <v>604</v>
      </c>
      <c r="N147" s="17" t="s">
        <v>559</v>
      </c>
      <c r="O147" s="17"/>
      <c r="P147" s="17"/>
      <c r="Q147" s="48" t="s">
        <v>605</v>
      </c>
      <c r="R147" s="44" t="s">
        <v>606</v>
      </c>
      <c r="S147" s="17" t="s">
        <v>603</v>
      </c>
      <c r="T147" s="17" t="s">
        <v>462</v>
      </c>
      <c r="U147" s="17" t="s">
        <v>607</v>
      </c>
      <c r="V147" s="17" t="s">
        <v>40</v>
      </c>
      <c r="W147" s="17" t="s">
        <v>40</v>
      </c>
      <c r="X147" s="48"/>
      <c r="Y147" s="17" t="s">
        <v>608</v>
      </c>
      <c r="Z147" s="17" t="s">
        <v>123</v>
      </c>
      <c r="AA147" s="17">
        <v>0</v>
      </c>
      <c r="AB147" s="17">
        <v>0</v>
      </c>
      <c r="AC147" s="19">
        <v>44717.22</v>
      </c>
      <c r="AD147" s="12">
        <f>AA147/24*AC147</f>
        <v>0</v>
      </c>
      <c r="AE147" s="12">
        <f>AB147/24*AC147</f>
        <v>0</v>
      </c>
      <c r="AF147" s="48"/>
    </row>
    <row r="148" spans="1:32" ht="22.5" customHeight="1" x14ac:dyDescent="0.25">
      <c r="A148" s="8">
        <v>147</v>
      </c>
      <c r="B148" s="9">
        <v>46044</v>
      </c>
      <c r="C148" s="10">
        <v>0.35416666666666669</v>
      </c>
      <c r="D148" s="11" t="s">
        <v>394</v>
      </c>
      <c r="E148" s="11" t="s">
        <v>45</v>
      </c>
      <c r="F148" s="11" t="s">
        <v>395</v>
      </c>
      <c r="G148" s="11" t="s">
        <v>28</v>
      </c>
      <c r="H148" s="11" t="s">
        <v>396</v>
      </c>
      <c r="I148" s="11" t="s">
        <v>102</v>
      </c>
      <c r="J148" s="11" t="s">
        <v>31</v>
      </c>
      <c r="K148" s="11" t="s">
        <v>65</v>
      </c>
      <c r="L148" s="11">
        <v>65</v>
      </c>
      <c r="M148" s="11" t="s">
        <v>318</v>
      </c>
      <c r="N148" s="11" t="s">
        <v>165</v>
      </c>
      <c r="O148" s="11">
        <v>40</v>
      </c>
      <c r="P148" s="11">
        <v>5</v>
      </c>
      <c r="Q148" s="46" t="s">
        <v>609</v>
      </c>
      <c r="R148" s="44" t="s">
        <v>610</v>
      </c>
      <c r="S148" s="11" t="s">
        <v>28</v>
      </c>
      <c r="T148" s="11" t="s">
        <v>40</v>
      </c>
      <c r="U148" s="11" t="s">
        <v>326</v>
      </c>
      <c r="V148" s="11" t="s">
        <v>40</v>
      </c>
      <c r="W148" s="11" t="s">
        <v>40</v>
      </c>
      <c r="X148" s="46" t="s">
        <v>42</v>
      </c>
      <c r="Y148" s="11" t="s">
        <v>388</v>
      </c>
      <c r="Z148" s="11" t="s">
        <v>72</v>
      </c>
      <c r="AA148" s="11">
        <v>0</v>
      </c>
      <c r="AB148" s="11">
        <v>2.5</v>
      </c>
      <c r="AC148" s="12">
        <v>120546.59</v>
      </c>
      <c r="AD148" s="12">
        <v>0</v>
      </c>
      <c r="AE148" s="12">
        <v>0</v>
      </c>
      <c r="AF148" s="46"/>
    </row>
    <row r="149" spans="1:32" ht="22.5" customHeight="1" x14ac:dyDescent="0.25">
      <c r="A149" s="8">
        <v>148</v>
      </c>
      <c r="B149" s="9">
        <v>46046</v>
      </c>
      <c r="C149" s="10">
        <v>0.3263888888888889</v>
      </c>
      <c r="D149" s="11" t="s">
        <v>585</v>
      </c>
      <c r="E149" s="11" t="s">
        <v>73</v>
      </c>
      <c r="F149" s="11" t="s">
        <v>586</v>
      </c>
      <c r="G149" s="11" t="s">
        <v>587</v>
      </c>
      <c r="H149" s="11" t="s">
        <v>49</v>
      </c>
      <c r="I149" s="11" t="s">
        <v>472</v>
      </c>
      <c r="J149" s="11" t="s">
        <v>110</v>
      </c>
      <c r="K149" s="11" t="s">
        <v>65</v>
      </c>
      <c r="L149" s="11">
        <v>66</v>
      </c>
      <c r="M149" s="11" t="s">
        <v>318</v>
      </c>
      <c r="N149" s="11" t="s">
        <v>400</v>
      </c>
      <c r="O149" s="11">
        <v>310</v>
      </c>
      <c r="P149" s="11">
        <v>330</v>
      </c>
      <c r="Q149" s="46" t="s">
        <v>611</v>
      </c>
      <c r="R149" s="44" t="s">
        <v>612</v>
      </c>
      <c r="S149" s="11" t="s">
        <v>613</v>
      </c>
      <c r="T149" s="11" t="s">
        <v>40</v>
      </c>
      <c r="U149" s="11" t="s">
        <v>614</v>
      </c>
      <c r="V149" s="11" t="s">
        <v>40</v>
      </c>
      <c r="W149" s="11" t="s">
        <v>40</v>
      </c>
      <c r="X149" s="46" t="s">
        <v>42</v>
      </c>
      <c r="Y149" s="11" t="s">
        <v>615</v>
      </c>
      <c r="Z149" s="11" t="s">
        <v>72</v>
      </c>
      <c r="AA149" s="11">
        <v>0</v>
      </c>
      <c r="AB149" s="11">
        <v>20</v>
      </c>
      <c r="AC149" s="12">
        <v>44717.22</v>
      </c>
      <c r="AD149" s="12">
        <v>0</v>
      </c>
      <c r="AE149" s="12">
        <v>0</v>
      </c>
      <c r="AF149" s="46"/>
    </row>
    <row r="150" spans="1:32" ht="22.5" customHeight="1" x14ac:dyDescent="0.25">
      <c r="A150" s="8">
        <v>149</v>
      </c>
      <c r="B150" s="9">
        <v>46197</v>
      </c>
      <c r="C150" s="10">
        <v>0.44444444444444442</v>
      </c>
      <c r="D150" s="11" t="s">
        <v>616</v>
      </c>
      <c r="E150" s="11" t="s">
        <v>73</v>
      </c>
      <c r="F150" s="11" t="s">
        <v>617</v>
      </c>
      <c r="G150" s="11" t="s">
        <v>63</v>
      </c>
      <c r="H150" s="11" t="s">
        <v>49</v>
      </c>
      <c r="I150" s="11" t="s">
        <v>472</v>
      </c>
      <c r="J150" s="11" t="s">
        <v>31</v>
      </c>
      <c r="K150" s="11" t="s">
        <v>65</v>
      </c>
      <c r="L150" s="11">
        <v>67</v>
      </c>
      <c r="M150" s="11" t="s">
        <v>318</v>
      </c>
      <c r="N150" s="11" t="s">
        <v>341</v>
      </c>
      <c r="O150" s="11"/>
      <c r="P150" s="11"/>
      <c r="Q150" s="46" t="s">
        <v>618</v>
      </c>
      <c r="R150" s="44" t="s">
        <v>619</v>
      </c>
      <c r="S150" s="11" t="s">
        <v>63</v>
      </c>
      <c r="T150" s="11" t="s">
        <v>40</v>
      </c>
      <c r="U150" s="11" t="s">
        <v>614</v>
      </c>
      <c r="V150" s="11" t="s">
        <v>40</v>
      </c>
      <c r="W150" s="11" t="s">
        <v>40</v>
      </c>
      <c r="X150" s="46" t="s">
        <v>42</v>
      </c>
      <c r="Y150" s="11" t="s">
        <v>615</v>
      </c>
      <c r="Z150" s="11" t="s">
        <v>72</v>
      </c>
      <c r="AA150" s="11">
        <v>0</v>
      </c>
      <c r="AB150" s="11">
        <v>16.8</v>
      </c>
      <c r="AC150" s="12">
        <v>44717.22</v>
      </c>
      <c r="AD150" s="12">
        <v>0</v>
      </c>
      <c r="AE150" s="12">
        <v>0</v>
      </c>
      <c r="AF150" s="46"/>
    </row>
    <row r="151" spans="1:32" ht="22.5" customHeight="1" x14ac:dyDescent="0.25">
      <c r="A151" s="8">
        <v>150</v>
      </c>
      <c r="B151" s="9">
        <v>46197</v>
      </c>
      <c r="C151" s="10">
        <v>0.46527777777777779</v>
      </c>
      <c r="D151" s="11" t="s">
        <v>616</v>
      </c>
      <c r="E151" s="11" t="s">
        <v>73</v>
      </c>
      <c r="F151" s="11" t="s">
        <v>617</v>
      </c>
      <c r="G151" s="11" t="s">
        <v>63</v>
      </c>
      <c r="H151" s="11" t="s">
        <v>49</v>
      </c>
      <c r="I151" s="11" t="s">
        <v>472</v>
      </c>
      <c r="J151" s="11" t="s">
        <v>31</v>
      </c>
      <c r="K151" s="11" t="s">
        <v>65</v>
      </c>
      <c r="L151" s="11">
        <v>68</v>
      </c>
      <c r="M151" s="11" t="s">
        <v>318</v>
      </c>
      <c r="N151" s="11" t="s">
        <v>223</v>
      </c>
      <c r="O151" s="11">
        <v>1550</v>
      </c>
      <c r="P151" s="11">
        <v>1950</v>
      </c>
      <c r="Q151" s="46" t="s">
        <v>620</v>
      </c>
      <c r="R151" s="44" t="s">
        <v>621</v>
      </c>
      <c r="S151" s="11" t="s">
        <v>63</v>
      </c>
      <c r="T151" s="11" t="s">
        <v>40</v>
      </c>
      <c r="U151" s="11" t="s">
        <v>614</v>
      </c>
      <c r="V151" s="11" t="s">
        <v>40</v>
      </c>
      <c r="W151" s="11" t="s">
        <v>462</v>
      </c>
      <c r="X151" s="46" t="s">
        <v>42</v>
      </c>
      <c r="Y151" s="11" t="s">
        <v>615</v>
      </c>
      <c r="Z151" s="11" t="s">
        <v>72</v>
      </c>
      <c r="AA151" s="11">
        <v>0</v>
      </c>
      <c r="AB151" s="11">
        <v>2.5</v>
      </c>
      <c r="AC151" s="12">
        <v>44717.22</v>
      </c>
      <c r="AD151" s="12">
        <v>0</v>
      </c>
      <c r="AE151" s="12">
        <v>0</v>
      </c>
      <c r="AF151" s="46"/>
    </row>
    <row r="152" spans="1:32" ht="22.5" customHeight="1" x14ac:dyDescent="0.25">
      <c r="A152" s="8">
        <v>151</v>
      </c>
      <c r="B152" s="9">
        <v>46046</v>
      </c>
      <c r="C152" s="10">
        <v>0.54166666666666663</v>
      </c>
      <c r="D152" s="11" t="s">
        <v>616</v>
      </c>
      <c r="E152" s="11" t="s">
        <v>73</v>
      </c>
      <c r="F152" s="11" t="s">
        <v>617</v>
      </c>
      <c r="G152" s="11" t="s">
        <v>63</v>
      </c>
      <c r="H152" s="11" t="s">
        <v>49</v>
      </c>
      <c r="I152" s="11" t="s">
        <v>472</v>
      </c>
      <c r="J152" s="11" t="s">
        <v>31</v>
      </c>
      <c r="K152" s="11" t="s">
        <v>65</v>
      </c>
      <c r="L152" s="11">
        <v>69</v>
      </c>
      <c r="M152" s="11" t="s">
        <v>318</v>
      </c>
      <c r="N152" s="11" t="s">
        <v>165</v>
      </c>
      <c r="O152" s="11">
        <v>140</v>
      </c>
      <c r="P152" s="11">
        <v>100</v>
      </c>
      <c r="Q152" s="46" t="s">
        <v>622</v>
      </c>
      <c r="R152" s="44" t="s">
        <v>623</v>
      </c>
      <c r="S152" s="11" t="s">
        <v>63</v>
      </c>
      <c r="T152" s="11" t="s">
        <v>40</v>
      </c>
      <c r="U152" s="11" t="s">
        <v>624</v>
      </c>
      <c r="V152" s="11" t="s">
        <v>40</v>
      </c>
      <c r="W152" s="11" t="s">
        <v>462</v>
      </c>
      <c r="X152" s="46" t="s">
        <v>42</v>
      </c>
      <c r="Y152" s="11" t="s">
        <v>615</v>
      </c>
      <c r="Z152" s="11" t="s">
        <v>72</v>
      </c>
      <c r="AA152" s="11">
        <v>0</v>
      </c>
      <c r="AB152" s="11">
        <v>0</v>
      </c>
      <c r="AC152" s="12">
        <v>44717.22</v>
      </c>
      <c r="AD152" s="12">
        <v>0</v>
      </c>
      <c r="AE152" s="12">
        <v>0</v>
      </c>
      <c r="AF152" s="46"/>
    </row>
    <row r="153" spans="1:32" ht="22.5" customHeight="1" x14ac:dyDescent="0.25">
      <c r="A153" s="8">
        <v>152</v>
      </c>
      <c r="B153" s="9">
        <v>46046</v>
      </c>
      <c r="C153" s="10">
        <v>0.58333333333333337</v>
      </c>
      <c r="D153" s="11" t="s">
        <v>585</v>
      </c>
      <c r="E153" s="11" t="s">
        <v>73</v>
      </c>
      <c r="F153" s="11" t="s">
        <v>586</v>
      </c>
      <c r="G153" s="11" t="s">
        <v>587</v>
      </c>
      <c r="H153" s="11" t="s">
        <v>49</v>
      </c>
      <c r="I153" s="11" t="s">
        <v>472</v>
      </c>
      <c r="J153" s="11" t="s">
        <v>31</v>
      </c>
      <c r="K153" s="11" t="s">
        <v>65</v>
      </c>
      <c r="L153" s="11">
        <v>70</v>
      </c>
      <c r="M153" s="11" t="s">
        <v>318</v>
      </c>
      <c r="N153" s="11" t="s">
        <v>223</v>
      </c>
      <c r="O153" s="11">
        <v>2880</v>
      </c>
      <c r="P153" s="11">
        <v>2620</v>
      </c>
      <c r="Q153" s="46" t="s">
        <v>625</v>
      </c>
      <c r="R153" s="44" t="s">
        <v>626</v>
      </c>
      <c r="S153" s="11" t="s">
        <v>613</v>
      </c>
      <c r="T153" s="11" t="s">
        <v>40</v>
      </c>
      <c r="U153" s="11" t="s">
        <v>614</v>
      </c>
      <c r="V153" s="11" t="s">
        <v>40</v>
      </c>
      <c r="W153" s="11" t="s">
        <v>80</v>
      </c>
      <c r="X153" s="46"/>
      <c r="Y153" s="11"/>
      <c r="Z153" s="11"/>
      <c r="AA153" s="11">
        <v>0</v>
      </c>
      <c r="AB153" s="11">
        <v>0.5</v>
      </c>
      <c r="AC153" s="12">
        <v>44717.22</v>
      </c>
      <c r="AD153" s="12">
        <v>0</v>
      </c>
      <c r="AE153" s="12">
        <v>0</v>
      </c>
      <c r="AF153" s="46"/>
    </row>
    <row r="154" spans="1:32" ht="22.5" customHeight="1" x14ac:dyDescent="0.25">
      <c r="A154" s="8">
        <v>153</v>
      </c>
      <c r="B154" s="9">
        <v>46046</v>
      </c>
      <c r="C154" s="10">
        <v>0.83333333333333337</v>
      </c>
      <c r="D154" s="11" t="s">
        <v>616</v>
      </c>
      <c r="E154" s="11" t="s">
        <v>73</v>
      </c>
      <c r="F154" s="11" t="s">
        <v>617</v>
      </c>
      <c r="G154" s="11" t="s">
        <v>63</v>
      </c>
      <c r="H154" s="11" t="s">
        <v>49</v>
      </c>
      <c r="I154" s="11" t="s">
        <v>472</v>
      </c>
      <c r="J154" s="11" t="s">
        <v>31</v>
      </c>
      <c r="K154" s="11" t="s">
        <v>65</v>
      </c>
      <c r="L154" s="11">
        <v>69</v>
      </c>
      <c r="M154" s="11" t="s">
        <v>627</v>
      </c>
      <c r="N154" s="11" t="s">
        <v>171</v>
      </c>
      <c r="O154" s="11">
        <v>5</v>
      </c>
      <c r="P154" s="11">
        <v>8.27</v>
      </c>
      <c r="Q154" s="46" t="s">
        <v>628</v>
      </c>
      <c r="R154" s="44" t="s">
        <v>629</v>
      </c>
      <c r="S154" s="11" t="s">
        <v>63</v>
      </c>
      <c r="T154" s="11" t="s">
        <v>40</v>
      </c>
      <c r="U154" s="11" t="s">
        <v>630</v>
      </c>
      <c r="V154" s="11" t="s">
        <v>40</v>
      </c>
      <c r="W154" s="11" t="s">
        <v>40</v>
      </c>
      <c r="X154" s="46" t="s">
        <v>631</v>
      </c>
      <c r="Y154" s="11" t="s">
        <v>632</v>
      </c>
      <c r="Z154" s="11" t="s">
        <v>123</v>
      </c>
      <c r="AA154" s="11">
        <v>0</v>
      </c>
      <c r="AB154" s="11">
        <v>0</v>
      </c>
      <c r="AC154" s="12">
        <v>44717.22</v>
      </c>
      <c r="AD154" s="12">
        <v>0</v>
      </c>
      <c r="AE154" s="12">
        <v>0</v>
      </c>
      <c r="AF154" s="46"/>
    </row>
    <row r="155" spans="1:32" ht="22.5" customHeight="1" x14ac:dyDescent="0.25">
      <c r="A155" s="8">
        <v>154</v>
      </c>
      <c r="B155" s="9">
        <v>46046</v>
      </c>
      <c r="C155" s="10">
        <v>0.96527777777777779</v>
      </c>
      <c r="D155" s="11" t="s">
        <v>616</v>
      </c>
      <c r="E155" s="11" t="s">
        <v>73</v>
      </c>
      <c r="F155" s="11" t="s">
        <v>617</v>
      </c>
      <c r="G155" s="11" t="s">
        <v>63</v>
      </c>
      <c r="H155" s="11" t="s">
        <v>49</v>
      </c>
      <c r="I155" s="11" t="s">
        <v>472</v>
      </c>
      <c r="J155" s="11" t="s">
        <v>31</v>
      </c>
      <c r="K155" s="11" t="s">
        <v>65</v>
      </c>
      <c r="L155" s="11">
        <v>72</v>
      </c>
      <c r="M155" s="11" t="s">
        <v>633</v>
      </c>
      <c r="N155" s="11" t="s">
        <v>75</v>
      </c>
      <c r="O155" s="11">
        <v>65</v>
      </c>
      <c r="P155" s="11">
        <v>80</v>
      </c>
      <c r="Q155" s="46" t="s">
        <v>634</v>
      </c>
      <c r="R155" s="44" t="s">
        <v>635</v>
      </c>
      <c r="S155" s="11" t="s">
        <v>63</v>
      </c>
      <c r="T155" s="11" t="s">
        <v>40</v>
      </c>
      <c r="U155" s="11" t="s">
        <v>636</v>
      </c>
      <c r="V155" s="11" t="s">
        <v>40</v>
      </c>
      <c r="W155" s="11" t="s">
        <v>80</v>
      </c>
      <c r="X155" s="46" t="s">
        <v>637</v>
      </c>
      <c r="Y155" s="11" t="s">
        <v>638</v>
      </c>
      <c r="Z155" s="11" t="s">
        <v>123</v>
      </c>
      <c r="AA155" s="24">
        <v>0</v>
      </c>
      <c r="AB155" s="24">
        <v>0.25</v>
      </c>
      <c r="AC155" s="12">
        <v>44717.22</v>
      </c>
      <c r="AD155" s="12">
        <v>0</v>
      </c>
      <c r="AE155" s="12">
        <v>0</v>
      </c>
      <c r="AF155" s="46"/>
    </row>
    <row r="156" spans="1:32" ht="22.5" customHeight="1" x14ac:dyDescent="0.25">
      <c r="A156" s="8">
        <v>155</v>
      </c>
      <c r="B156" s="9">
        <v>46047</v>
      </c>
      <c r="C156" s="10">
        <v>0.625</v>
      </c>
      <c r="D156" s="11" t="s">
        <v>616</v>
      </c>
      <c r="E156" s="11" t="s">
        <v>73</v>
      </c>
      <c r="F156" s="11" t="s">
        <v>617</v>
      </c>
      <c r="G156" s="11" t="s">
        <v>63</v>
      </c>
      <c r="H156" s="11" t="s">
        <v>49</v>
      </c>
      <c r="I156" s="11" t="s">
        <v>472</v>
      </c>
      <c r="J156" s="11" t="s">
        <v>31</v>
      </c>
      <c r="K156" s="11" t="s">
        <v>65</v>
      </c>
      <c r="L156" s="11">
        <v>67</v>
      </c>
      <c r="M156" s="11" t="s">
        <v>318</v>
      </c>
      <c r="N156" s="11" t="s">
        <v>341</v>
      </c>
      <c r="O156" s="11"/>
      <c r="P156" s="11"/>
      <c r="Q156" s="46" t="s">
        <v>639</v>
      </c>
      <c r="R156" s="44" t="s">
        <v>619</v>
      </c>
      <c r="S156" s="11" t="s">
        <v>63</v>
      </c>
      <c r="T156" s="11" t="s">
        <v>40</v>
      </c>
      <c r="U156" s="11" t="s">
        <v>640</v>
      </c>
      <c r="V156" s="11" t="s">
        <v>40</v>
      </c>
      <c r="W156" s="11" t="s">
        <v>40</v>
      </c>
      <c r="X156" s="46" t="s">
        <v>42</v>
      </c>
      <c r="Y156" s="11" t="s">
        <v>641</v>
      </c>
      <c r="Z156" s="11" t="s">
        <v>72</v>
      </c>
      <c r="AA156" s="24">
        <v>0</v>
      </c>
      <c r="AB156" s="24">
        <v>0</v>
      </c>
      <c r="AC156" s="12">
        <v>44717.22</v>
      </c>
      <c r="AD156" s="12">
        <v>0</v>
      </c>
      <c r="AE156" s="12">
        <v>0</v>
      </c>
      <c r="AF156" s="46"/>
    </row>
    <row r="157" spans="1:32" ht="22.5" customHeight="1" x14ac:dyDescent="0.25">
      <c r="A157" s="8">
        <v>156</v>
      </c>
      <c r="B157" s="9">
        <v>46048</v>
      </c>
      <c r="C157" s="10">
        <v>3.4722222222222224E-2</v>
      </c>
      <c r="D157" s="11" t="s">
        <v>616</v>
      </c>
      <c r="E157" s="11" t="s">
        <v>73</v>
      </c>
      <c r="F157" s="11" t="s">
        <v>617</v>
      </c>
      <c r="G157" s="11" t="s">
        <v>63</v>
      </c>
      <c r="H157" s="11" t="s">
        <v>49</v>
      </c>
      <c r="I157" s="11" t="s">
        <v>472</v>
      </c>
      <c r="J157" s="11" t="s">
        <v>110</v>
      </c>
      <c r="K157" s="11" t="s">
        <v>65</v>
      </c>
      <c r="L157" s="11">
        <v>73</v>
      </c>
      <c r="M157" s="11" t="s">
        <v>642</v>
      </c>
      <c r="N157" s="11" t="s">
        <v>643</v>
      </c>
      <c r="O157" s="11">
        <v>294</v>
      </c>
      <c r="P157" s="11">
        <v>299</v>
      </c>
      <c r="Q157" s="46" t="s">
        <v>644</v>
      </c>
      <c r="R157" s="44" t="s">
        <v>645</v>
      </c>
      <c r="S157" s="11" t="s">
        <v>63</v>
      </c>
      <c r="T157" s="11" t="s">
        <v>40</v>
      </c>
      <c r="U157" s="11" t="s">
        <v>646</v>
      </c>
      <c r="V157" s="11" t="s">
        <v>40</v>
      </c>
      <c r="W157" s="11" t="s">
        <v>80</v>
      </c>
      <c r="X157" s="46" t="s">
        <v>647</v>
      </c>
      <c r="Y157" s="11" t="s">
        <v>648</v>
      </c>
      <c r="Z157" s="11" t="s">
        <v>123</v>
      </c>
      <c r="AA157" s="24">
        <v>0</v>
      </c>
      <c r="AB157" s="24">
        <v>0</v>
      </c>
      <c r="AC157" s="12">
        <v>44717.22</v>
      </c>
      <c r="AD157" s="12">
        <v>0</v>
      </c>
      <c r="AE157" s="12">
        <v>0</v>
      </c>
      <c r="AF157" s="46"/>
    </row>
    <row r="158" spans="1:32" ht="22.5" customHeight="1" x14ac:dyDescent="0.25">
      <c r="A158" s="8">
        <v>157</v>
      </c>
      <c r="B158" s="9">
        <v>46048</v>
      </c>
      <c r="C158" s="10">
        <v>0.14583333333333334</v>
      </c>
      <c r="D158" s="11" t="s">
        <v>616</v>
      </c>
      <c r="E158" s="11" t="s">
        <v>73</v>
      </c>
      <c r="F158" s="11" t="s">
        <v>617</v>
      </c>
      <c r="G158" s="11" t="s">
        <v>63</v>
      </c>
      <c r="H158" s="11" t="s">
        <v>49</v>
      </c>
      <c r="I158" s="11" t="s">
        <v>472</v>
      </c>
      <c r="J158" s="11" t="s">
        <v>31</v>
      </c>
      <c r="K158" s="11" t="s">
        <v>65</v>
      </c>
      <c r="L158" s="11">
        <v>74</v>
      </c>
      <c r="M158" s="11" t="s">
        <v>51</v>
      </c>
      <c r="N158" s="11" t="s">
        <v>223</v>
      </c>
      <c r="O158" s="11">
        <v>2500</v>
      </c>
      <c r="P158" s="11">
        <v>3000</v>
      </c>
      <c r="Q158" s="46" t="s">
        <v>649</v>
      </c>
      <c r="R158" s="44" t="s">
        <v>650</v>
      </c>
      <c r="S158" s="11" t="s">
        <v>63</v>
      </c>
      <c r="T158" s="11" t="s">
        <v>40</v>
      </c>
      <c r="U158" s="11" t="s">
        <v>651</v>
      </c>
      <c r="V158" s="11" t="s">
        <v>40</v>
      </c>
      <c r="W158" s="11" t="s">
        <v>40</v>
      </c>
      <c r="X158" s="46" t="s">
        <v>652</v>
      </c>
      <c r="Y158" s="11" t="s">
        <v>648</v>
      </c>
      <c r="Z158" s="11" t="s">
        <v>123</v>
      </c>
      <c r="AA158" s="24">
        <v>0</v>
      </c>
      <c r="AB158" s="24">
        <v>0</v>
      </c>
      <c r="AC158" s="12">
        <v>44717.22</v>
      </c>
      <c r="AD158" s="12">
        <v>0</v>
      </c>
      <c r="AE158" s="12">
        <v>0</v>
      </c>
      <c r="AF158" s="46"/>
    </row>
    <row r="159" spans="1:32" ht="22.5" customHeight="1" x14ac:dyDescent="0.25">
      <c r="A159" s="8">
        <v>158</v>
      </c>
      <c r="B159" s="9">
        <v>46048</v>
      </c>
      <c r="C159" s="10">
        <v>0.22222222222222221</v>
      </c>
      <c r="D159" s="11" t="s">
        <v>616</v>
      </c>
      <c r="E159" s="11" t="s">
        <v>73</v>
      </c>
      <c r="F159" s="11" t="s">
        <v>617</v>
      </c>
      <c r="G159" s="11" t="s">
        <v>63</v>
      </c>
      <c r="H159" s="11" t="s">
        <v>49</v>
      </c>
      <c r="I159" s="11" t="s">
        <v>472</v>
      </c>
      <c r="J159" s="11" t="s">
        <v>110</v>
      </c>
      <c r="K159" s="11" t="s">
        <v>65</v>
      </c>
      <c r="L159" s="11">
        <v>76</v>
      </c>
      <c r="M159" s="11" t="s">
        <v>51</v>
      </c>
      <c r="N159" s="11"/>
      <c r="O159" s="11"/>
      <c r="P159" s="11"/>
      <c r="Q159" s="46" t="s">
        <v>653</v>
      </c>
      <c r="R159" s="44" t="s">
        <v>654</v>
      </c>
      <c r="S159" s="11" t="s">
        <v>63</v>
      </c>
      <c r="T159" s="11" t="s">
        <v>40</v>
      </c>
      <c r="U159" s="11" t="s">
        <v>651</v>
      </c>
      <c r="V159" s="11" t="s">
        <v>40</v>
      </c>
      <c r="W159" s="11" t="s">
        <v>40</v>
      </c>
      <c r="X159" s="46" t="s">
        <v>655</v>
      </c>
      <c r="Y159" s="11" t="s">
        <v>648</v>
      </c>
      <c r="Z159" s="11" t="s">
        <v>123</v>
      </c>
      <c r="AA159" s="24">
        <v>0</v>
      </c>
      <c r="AB159" s="24">
        <v>16.8</v>
      </c>
      <c r="AC159" s="12">
        <v>44717.22</v>
      </c>
      <c r="AD159" s="12">
        <v>0</v>
      </c>
      <c r="AE159" s="12">
        <v>0</v>
      </c>
      <c r="AF159" s="46"/>
    </row>
    <row r="160" spans="1:32" ht="22.5" customHeight="1" x14ac:dyDescent="0.25">
      <c r="A160" s="8">
        <v>159</v>
      </c>
      <c r="B160" s="9">
        <v>46048</v>
      </c>
      <c r="C160" s="10">
        <v>0.65972222222222221</v>
      </c>
      <c r="D160" s="11" t="s">
        <v>585</v>
      </c>
      <c r="E160" s="11" t="s">
        <v>73</v>
      </c>
      <c r="F160" s="11" t="s">
        <v>586</v>
      </c>
      <c r="G160" s="11" t="s">
        <v>587</v>
      </c>
      <c r="H160" s="11" t="s">
        <v>49</v>
      </c>
      <c r="I160" s="11" t="s">
        <v>472</v>
      </c>
      <c r="J160" s="11" t="s">
        <v>110</v>
      </c>
      <c r="K160" s="11" t="s">
        <v>65</v>
      </c>
      <c r="L160" s="11">
        <v>77</v>
      </c>
      <c r="M160" s="11" t="s">
        <v>318</v>
      </c>
      <c r="N160" s="11"/>
      <c r="O160" s="11"/>
      <c r="P160" s="11"/>
      <c r="Q160" s="46" t="s">
        <v>656</v>
      </c>
      <c r="R160" s="44" t="s">
        <v>657</v>
      </c>
      <c r="S160" s="11" t="s">
        <v>613</v>
      </c>
      <c r="T160" s="11" t="s">
        <v>40</v>
      </c>
      <c r="U160" s="11" t="s">
        <v>658</v>
      </c>
      <c r="V160" s="11" t="s">
        <v>40</v>
      </c>
      <c r="W160" s="11" t="s">
        <v>40</v>
      </c>
      <c r="X160" s="46" t="s">
        <v>659</v>
      </c>
      <c r="Y160" s="11" t="s">
        <v>641</v>
      </c>
      <c r="Z160" s="11" t="s">
        <v>72</v>
      </c>
      <c r="AA160" s="24">
        <v>0</v>
      </c>
      <c r="AB160" s="24">
        <v>5</v>
      </c>
      <c r="AC160" s="12">
        <v>44717.22</v>
      </c>
      <c r="AD160" s="12">
        <v>0</v>
      </c>
      <c r="AE160" s="12">
        <v>0</v>
      </c>
      <c r="AF160" s="46"/>
    </row>
    <row r="161" spans="1:32" ht="22.5" customHeight="1" x14ac:dyDescent="0.25">
      <c r="A161" s="8">
        <v>160</v>
      </c>
      <c r="B161" s="9">
        <v>46048</v>
      </c>
      <c r="C161" s="10">
        <v>0.69791666666666663</v>
      </c>
      <c r="D161" s="11" t="s">
        <v>580</v>
      </c>
      <c r="E161" s="11" t="s">
        <v>73</v>
      </c>
      <c r="F161" s="11" t="s">
        <v>581</v>
      </c>
      <c r="G161" s="11" t="s">
        <v>613</v>
      </c>
      <c r="H161" s="11" t="s">
        <v>49</v>
      </c>
      <c r="I161" s="11" t="s">
        <v>472</v>
      </c>
      <c r="J161" s="11" t="s">
        <v>92</v>
      </c>
      <c r="K161" s="11" t="s">
        <v>65</v>
      </c>
      <c r="L161" s="11">
        <v>78</v>
      </c>
      <c r="M161" s="11" t="s">
        <v>559</v>
      </c>
      <c r="N161" s="11" t="s">
        <v>559</v>
      </c>
      <c r="O161" s="11">
        <v>19</v>
      </c>
      <c r="P161" s="11">
        <v>14</v>
      </c>
      <c r="Q161" s="46" t="s">
        <v>660</v>
      </c>
      <c r="R161" s="44" t="s">
        <v>661</v>
      </c>
      <c r="S161" s="11" t="s">
        <v>613</v>
      </c>
      <c r="T161" s="11" t="s">
        <v>40</v>
      </c>
      <c r="U161" s="11" t="s">
        <v>662</v>
      </c>
      <c r="V161" s="11" t="s">
        <v>80</v>
      </c>
      <c r="W161" s="11" t="s">
        <v>80</v>
      </c>
      <c r="X161" s="46"/>
      <c r="Y161" s="11" t="s">
        <v>641</v>
      </c>
      <c r="Z161" s="11" t="s">
        <v>72</v>
      </c>
      <c r="AA161" s="24">
        <v>0</v>
      </c>
      <c r="AB161" s="24">
        <v>3</v>
      </c>
      <c r="AC161" s="12">
        <v>44717.22</v>
      </c>
      <c r="AD161" s="12">
        <f>AA161/24*AC161</f>
        <v>0</v>
      </c>
      <c r="AE161" s="12">
        <f>AB161/24*AC161</f>
        <v>5589.6525000000001</v>
      </c>
      <c r="AF161" s="46"/>
    </row>
    <row r="162" spans="1:32" ht="22.5" customHeight="1" x14ac:dyDescent="0.25">
      <c r="A162" s="8">
        <v>161</v>
      </c>
      <c r="B162" s="9">
        <v>46049</v>
      </c>
      <c r="C162" s="10">
        <v>5.9027777777777776E-2</v>
      </c>
      <c r="D162" s="11" t="s">
        <v>616</v>
      </c>
      <c r="E162" s="11" t="s">
        <v>73</v>
      </c>
      <c r="F162" s="11" t="s">
        <v>617</v>
      </c>
      <c r="G162" s="11" t="s">
        <v>63</v>
      </c>
      <c r="H162" s="11" t="s">
        <v>49</v>
      </c>
      <c r="I162" s="11" t="s">
        <v>472</v>
      </c>
      <c r="J162" s="11" t="s">
        <v>110</v>
      </c>
      <c r="K162" s="11" t="s">
        <v>65</v>
      </c>
      <c r="L162" s="11">
        <v>79</v>
      </c>
      <c r="M162" s="11" t="s">
        <v>642</v>
      </c>
      <c r="N162" s="11" t="s">
        <v>643</v>
      </c>
      <c r="O162" s="11">
        <v>325</v>
      </c>
      <c r="P162" s="11">
        <v>332</v>
      </c>
      <c r="Q162" s="46" t="s">
        <v>663</v>
      </c>
      <c r="R162" s="44" t="s">
        <v>664</v>
      </c>
      <c r="S162" s="11" t="s">
        <v>63</v>
      </c>
      <c r="T162" s="11" t="s">
        <v>40</v>
      </c>
      <c r="U162" s="11" t="s">
        <v>665</v>
      </c>
      <c r="V162" s="11" t="s">
        <v>40</v>
      </c>
      <c r="W162" s="11" t="s">
        <v>40</v>
      </c>
      <c r="X162" s="46" t="s">
        <v>666</v>
      </c>
      <c r="Y162" s="11" t="s">
        <v>667</v>
      </c>
      <c r="Z162" s="11" t="s">
        <v>123</v>
      </c>
      <c r="AA162" s="24">
        <v>0</v>
      </c>
      <c r="AB162" s="24">
        <v>2.4</v>
      </c>
      <c r="AC162" s="12">
        <v>44717.22</v>
      </c>
      <c r="AD162" s="12">
        <v>0</v>
      </c>
      <c r="AE162" s="12">
        <v>0</v>
      </c>
      <c r="AF162" s="46"/>
    </row>
    <row r="163" spans="1:32" ht="22.5" customHeight="1" x14ac:dyDescent="0.25">
      <c r="A163" s="8">
        <v>162</v>
      </c>
      <c r="B163" s="9">
        <v>46049</v>
      </c>
      <c r="C163" s="10">
        <v>0.4861111111111111</v>
      </c>
      <c r="D163" s="11" t="s">
        <v>616</v>
      </c>
      <c r="E163" s="11" t="s">
        <v>73</v>
      </c>
      <c r="F163" s="11" t="s">
        <v>617</v>
      </c>
      <c r="G163" s="11" t="s">
        <v>63</v>
      </c>
      <c r="H163" s="11" t="s">
        <v>49</v>
      </c>
      <c r="I163" s="11" t="s">
        <v>472</v>
      </c>
      <c r="J163" s="11" t="s">
        <v>214</v>
      </c>
      <c r="K163" s="11" t="s">
        <v>65</v>
      </c>
      <c r="L163" s="11">
        <v>80</v>
      </c>
      <c r="M163" s="11" t="s">
        <v>668</v>
      </c>
      <c r="N163" s="11" t="s">
        <v>165</v>
      </c>
      <c r="O163" s="11">
        <v>120</v>
      </c>
      <c r="P163" s="11">
        <v>140</v>
      </c>
      <c r="Q163" s="46" t="s">
        <v>669</v>
      </c>
      <c r="R163" s="44" t="s">
        <v>670</v>
      </c>
      <c r="S163" s="11" t="s">
        <v>63</v>
      </c>
      <c r="T163" s="11" t="s">
        <v>40</v>
      </c>
      <c r="U163" s="11" t="s">
        <v>671</v>
      </c>
      <c r="V163" s="17" t="s">
        <v>40</v>
      </c>
      <c r="W163" s="17" t="s">
        <v>40</v>
      </c>
      <c r="X163" s="46" t="s">
        <v>42</v>
      </c>
      <c r="Y163" s="11" t="s">
        <v>672</v>
      </c>
      <c r="Z163" s="11" t="s">
        <v>72</v>
      </c>
      <c r="AA163" s="24">
        <v>0</v>
      </c>
      <c r="AB163" s="24">
        <v>0</v>
      </c>
      <c r="AC163" s="12">
        <v>44717.22</v>
      </c>
      <c r="AD163" s="12">
        <f>AA163/24*AC163</f>
        <v>0</v>
      </c>
      <c r="AE163" s="12">
        <f>AB163/24*AC163</f>
        <v>0</v>
      </c>
      <c r="AF163" s="46"/>
    </row>
    <row r="164" spans="1:32" ht="22.5" customHeight="1" x14ac:dyDescent="0.25">
      <c r="A164" s="8">
        <v>163</v>
      </c>
      <c r="B164" s="9">
        <v>46049</v>
      </c>
      <c r="C164" s="10">
        <v>0.67708333333333337</v>
      </c>
      <c r="D164" s="11" t="s">
        <v>580</v>
      </c>
      <c r="E164" s="24" t="s">
        <v>73</v>
      </c>
      <c r="F164" s="11" t="s">
        <v>581</v>
      </c>
      <c r="G164" s="11" t="s">
        <v>613</v>
      </c>
      <c r="H164" s="11" t="s">
        <v>49</v>
      </c>
      <c r="I164" s="11" t="s">
        <v>472</v>
      </c>
      <c r="J164" s="11" t="s">
        <v>31</v>
      </c>
      <c r="K164" s="11" t="s">
        <v>65</v>
      </c>
      <c r="L164" s="11">
        <v>81</v>
      </c>
      <c r="M164" s="11" t="s">
        <v>51</v>
      </c>
      <c r="N164" s="11" t="s">
        <v>341</v>
      </c>
      <c r="O164" s="11"/>
      <c r="P164" s="11"/>
      <c r="Q164" s="46" t="s">
        <v>673</v>
      </c>
      <c r="R164" s="44" t="s">
        <v>674</v>
      </c>
      <c r="S164" s="11" t="s">
        <v>613</v>
      </c>
      <c r="T164" s="11" t="s">
        <v>40</v>
      </c>
      <c r="U164" s="11" t="s">
        <v>675</v>
      </c>
      <c r="V164" s="11" t="s">
        <v>40</v>
      </c>
      <c r="W164" s="11" t="s">
        <v>40</v>
      </c>
      <c r="X164" s="46" t="s">
        <v>42</v>
      </c>
      <c r="Y164" s="11" t="s">
        <v>676</v>
      </c>
      <c r="Z164" s="11" t="s">
        <v>72</v>
      </c>
      <c r="AA164" s="24">
        <v>0</v>
      </c>
      <c r="AB164" s="24">
        <v>20</v>
      </c>
      <c r="AC164" s="12">
        <v>44717.22</v>
      </c>
      <c r="AD164" s="12">
        <v>0</v>
      </c>
      <c r="AE164" s="12">
        <v>0</v>
      </c>
      <c r="AF164" s="46"/>
    </row>
    <row r="165" spans="1:32" ht="22.5" customHeight="1" x14ac:dyDescent="0.25">
      <c r="A165" s="8">
        <v>164</v>
      </c>
      <c r="B165" s="9">
        <v>46049</v>
      </c>
      <c r="C165" s="10">
        <v>0.73611111111111116</v>
      </c>
      <c r="D165" s="11" t="s">
        <v>585</v>
      </c>
      <c r="E165" s="11" t="s">
        <v>73</v>
      </c>
      <c r="F165" s="11" t="s">
        <v>586</v>
      </c>
      <c r="G165" s="11" t="s">
        <v>587</v>
      </c>
      <c r="H165" s="11" t="s">
        <v>49</v>
      </c>
      <c r="I165" s="11" t="s">
        <v>472</v>
      </c>
      <c r="J165" s="11" t="s">
        <v>110</v>
      </c>
      <c r="K165" s="11" t="s">
        <v>65</v>
      </c>
      <c r="L165" s="11">
        <v>82</v>
      </c>
      <c r="M165" s="11" t="s">
        <v>51</v>
      </c>
      <c r="N165" s="11" t="s">
        <v>677</v>
      </c>
      <c r="O165" s="11">
        <v>15</v>
      </c>
      <c r="P165" s="11">
        <v>5</v>
      </c>
      <c r="Q165" s="46" t="s">
        <v>678</v>
      </c>
      <c r="R165" s="44" t="s">
        <v>679</v>
      </c>
      <c r="S165" s="11" t="s">
        <v>613</v>
      </c>
      <c r="T165" s="11" t="s">
        <v>40</v>
      </c>
      <c r="U165" s="11" t="s">
        <v>680</v>
      </c>
      <c r="V165" s="11" t="s">
        <v>40</v>
      </c>
      <c r="W165" s="11" t="s">
        <v>40</v>
      </c>
      <c r="X165" s="46" t="s">
        <v>681</v>
      </c>
      <c r="Y165" s="11" t="s">
        <v>682</v>
      </c>
      <c r="Z165" s="11" t="s">
        <v>123</v>
      </c>
      <c r="AA165" s="24">
        <v>1</v>
      </c>
      <c r="AB165" s="24">
        <v>0</v>
      </c>
      <c r="AC165" s="12">
        <v>44717.22</v>
      </c>
      <c r="AD165" s="12">
        <v>0</v>
      </c>
      <c r="AE165" s="12">
        <v>0</v>
      </c>
      <c r="AF165" s="46"/>
    </row>
    <row r="166" spans="1:32" ht="22.5" customHeight="1" x14ac:dyDescent="0.25">
      <c r="A166" s="8">
        <v>165</v>
      </c>
      <c r="B166" s="9">
        <v>46049</v>
      </c>
      <c r="C166" s="10">
        <v>0.50694444444444442</v>
      </c>
      <c r="D166" s="11" t="s">
        <v>580</v>
      </c>
      <c r="E166" s="24" t="s">
        <v>73</v>
      </c>
      <c r="F166" s="11" t="s">
        <v>581</v>
      </c>
      <c r="G166" s="11" t="s">
        <v>613</v>
      </c>
      <c r="H166" s="11" t="s">
        <v>49</v>
      </c>
      <c r="I166" s="11" t="s">
        <v>472</v>
      </c>
      <c r="J166" s="11" t="s">
        <v>31</v>
      </c>
      <c r="K166" s="11" t="s">
        <v>65</v>
      </c>
      <c r="L166" s="11">
        <v>81</v>
      </c>
      <c r="M166" s="11" t="s">
        <v>170</v>
      </c>
      <c r="N166" s="11"/>
      <c r="O166" s="11"/>
      <c r="P166" s="11"/>
      <c r="Q166" s="46" t="s">
        <v>683</v>
      </c>
      <c r="R166" s="44" t="s">
        <v>684</v>
      </c>
      <c r="S166" s="11" t="s">
        <v>613</v>
      </c>
      <c r="T166" s="11" t="s">
        <v>40</v>
      </c>
      <c r="U166" s="11" t="s">
        <v>685</v>
      </c>
      <c r="V166" s="11" t="s">
        <v>40</v>
      </c>
      <c r="W166" s="11" t="s">
        <v>40</v>
      </c>
      <c r="X166" s="46" t="s">
        <v>686</v>
      </c>
      <c r="Y166" s="11" t="s">
        <v>687</v>
      </c>
      <c r="Z166" s="11" t="s">
        <v>123</v>
      </c>
      <c r="AA166" s="24">
        <v>0</v>
      </c>
      <c r="AB166" s="24">
        <v>20</v>
      </c>
      <c r="AC166" s="12">
        <v>44717.22</v>
      </c>
      <c r="AD166" s="12">
        <v>0</v>
      </c>
      <c r="AE166" s="12">
        <v>0</v>
      </c>
      <c r="AF166" s="46"/>
    </row>
    <row r="167" spans="1:32" ht="22.5" customHeight="1" x14ac:dyDescent="0.25">
      <c r="A167" s="8">
        <v>166</v>
      </c>
      <c r="B167" s="9">
        <v>46050</v>
      </c>
      <c r="C167" s="10">
        <v>0.35416666666666669</v>
      </c>
      <c r="D167" s="11" t="s">
        <v>580</v>
      </c>
      <c r="E167" s="24" t="s">
        <v>73</v>
      </c>
      <c r="F167" s="11" t="s">
        <v>581</v>
      </c>
      <c r="G167" s="11" t="s">
        <v>613</v>
      </c>
      <c r="H167" s="11" t="s">
        <v>49</v>
      </c>
      <c r="I167" s="11" t="s">
        <v>472</v>
      </c>
      <c r="J167" s="11" t="s">
        <v>31</v>
      </c>
      <c r="K167" s="11" t="s">
        <v>65</v>
      </c>
      <c r="L167" s="11">
        <v>81</v>
      </c>
      <c r="M167" s="11" t="s">
        <v>51</v>
      </c>
      <c r="N167" s="11" t="s">
        <v>341</v>
      </c>
      <c r="O167" s="11"/>
      <c r="P167" s="11"/>
      <c r="Q167" s="46" t="s">
        <v>688</v>
      </c>
      <c r="R167" s="44" t="s">
        <v>674</v>
      </c>
      <c r="S167" s="11" t="s">
        <v>613</v>
      </c>
      <c r="T167" s="11" t="s">
        <v>40</v>
      </c>
      <c r="U167" s="11" t="s">
        <v>689</v>
      </c>
      <c r="V167" s="11" t="s">
        <v>40</v>
      </c>
      <c r="W167" s="11" t="s">
        <v>40</v>
      </c>
      <c r="X167" s="46" t="s">
        <v>42</v>
      </c>
      <c r="Y167" s="11" t="s">
        <v>632</v>
      </c>
      <c r="Z167" s="11" t="s">
        <v>72</v>
      </c>
      <c r="AA167" s="24">
        <v>0</v>
      </c>
      <c r="AB167" s="24">
        <v>20</v>
      </c>
      <c r="AC167" s="12">
        <v>44717.22</v>
      </c>
      <c r="AD167" s="12">
        <v>0</v>
      </c>
      <c r="AE167" s="12">
        <v>0</v>
      </c>
      <c r="AF167" s="46"/>
    </row>
    <row r="168" spans="1:32" ht="22.5" customHeight="1" x14ac:dyDescent="0.25">
      <c r="A168" s="8">
        <v>167</v>
      </c>
      <c r="B168" s="9">
        <v>46050</v>
      </c>
      <c r="C168" s="10">
        <v>0.48958333333333331</v>
      </c>
      <c r="D168" s="11" t="s">
        <v>585</v>
      </c>
      <c r="E168" s="11" t="s">
        <v>73</v>
      </c>
      <c r="F168" s="11" t="s">
        <v>586</v>
      </c>
      <c r="G168" s="11" t="s">
        <v>587</v>
      </c>
      <c r="H168" s="11" t="s">
        <v>49</v>
      </c>
      <c r="I168" s="11" t="s">
        <v>472</v>
      </c>
      <c r="J168" s="11" t="s">
        <v>214</v>
      </c>
      <c r="K168" s="11" t="s">
        <v>193</v>
      </c>
      <c r="L168" s="11">
        <v>83</v>
      </c>
      <c r="M168" s="11" t="s">
        <v>690</v>
      </c>
      <c r="N168" s="11"/>
      <c r="O168" s="11"/>
      <c r="P168" s="11"/>
      <c r="Q168" s="46" t="s">
        <v>691</v>
      </c>
      <c r="R168" s="44" t="s">
        <v>692</v>
      </c>
      <c r="S168" s="11" t="s">
        <v>613</v>
      </c>
      <c r="T168" s="11" t="s">
        <v>40</v>
      </c>
      <c r="U168" s="11" t="s">
        <v>693</v>
      </c>
      <c r="V168" s="17" t="s">
        <v>40</v>
      </c>
      <c r="W168" s="17" t="s">
        <v>40</v>
      </c>
      <c r="X168" s="46" t="s">
        <v>694</v>
      </c>
      <c r="Y168" s="11" t="s">
        <v>632</v>
      </c>
      <c r="Z168" s="11" t="s">
        <v>72</v>
      </c>
      <c r="AA168" s="24">
        <v>0</v>
      </c>
      <c r="AB168" s="24">
        <v>0</v>
      </c>
      <c r="AC168" s="12">
        <v>44717.22</v>
      </c>
      <c r="AD168" s="12">
        <f>AA168/24*AC168</f>
        <v>0</v>
      </c>
      <c r="AE168" s="12">
        <f>AB168/24*AC168</f>
        <v>0</v>
      </c>
      <c r="AF168" s="46"/>
    </row>
    <row r="169" spans="1:32" ht="22.5" customHeight="1" x14ac:dyDescent="0.25">
      <c r="A169" s="8">
        <v>168</v>
      </c>
      <c r="B169" s="9">
        <v>46050</v>
      </c>
      <c r="C169" s="10">
        <v>0.57291666666666663</v>
      </c>
      <c r="D169" s="11" t="s">
        <v>580</v>
      </c>
      <c r="E169" s="11" t="s">
        <v>73</v>
      </c>
      <c r="F169" s="11" t="s">
        <v>581</v>
      </c>
      <c r="G169" s="11" t="s">
        <v>613</v>
      </c>
      <c r="H169" s="11" t="s">
        <v>49</v>
      </c>
      <c r="I169" s="11" t="s">
        <v>472</v>
      </c>
      <c r="J169" s="11" t="s">
        <v>695</v>
      </c>
      <c r="K169" s="11" t="s">
        <v>193</v>
      </c>
      <c r="L169" s="11">
        <v>84</v>
      </c>
      <c r="M169" s="11" t="s">
        <v>517</v>
      </c>
      <c r="N169" s="11"/>
      <c r="O169" s="11"/>
      <c r="P169" s="11"/>
      <c r="Q169" s="46" t="s">
        <v>696</v>
      </c>
      <c r="R169" s="44" t="s">
        <v>697</v>
      </c>
      <c r="S169" s="11" t="s">
        <v>63</v>
      </c>
      <c r="T169" s="11" t="s">
        <v>40</v>
      </c>
      <c r="U169" s="11" t="s">
        <v>69</v>
      </c>
      <c r="V169" s="17" t="s">
        <v>40</v>
      </c>
      <c r="W169" s="17" t="s">
        <v>40</v>
      </c>
      <c r="X169" s="46" t="s">
        <v>42</v>
      </c>
      <c r="Y169" s="11" t="s">
        <v>632</v>
      </c>
      <c r="Z169" s="11" t="s">
        <v>72</v>
      </c>
      <c r="AA169" s="24">
        <v>0</v>
      </c>
      <c r="AB169" s="24">
        <v>2.5</v>
      </c>
      <c r="AC169" s="12">
        <v>44717.22</v>
      </c>
      <c r="AD169" s="12">
        <f>AA169/24*AC169</f>
        <v>0</v>
      </c>
      <c r="AE169" s="12">
        <f>AB169/24*AC169</f>
        <v>4658.0437500000007</v>
      </c>
      <c r="AF169" s="46"/>
    </row>
    <row r="170" spans="1:32" ht="22.5" customHeight="1" x14ac:dyDescent="0.25">
      <c r="A170" s="8">
        <v>169</v>
      </c>
      <c r="B170" s="9">
        <v>46050</v>
      </c>
      <c r="C170" s="10">
        <v>0.67708333333333337</v>
      </c>
      <c r="D170" s="11" t="s">
        <v>394</v>
      </c>
      <c r="E170" s="11" t="s">
        <v>45</v>
      </c>
      <c r="F170" s="11" t="s">
        <v>698</v>
      </c>
      <c r="G170" s="11" t="s">
        <v>28</v>
      </c>
      <c r="H170" s="11" t="s">
        <v>396</v>
      </c>
      <c r="I170" s="11" t="s">
        <v>102</v>
      </c>
      <c r="J170" s="11" t="s">
        <v>110</v>
      </c>
      <c r="K170" s="11" t="s">
        <v>32</v>
      </c>
      <c r="L170" s="11">
        <v>85</v>
      </c>
      <c r="M170" s="11" t="s">
        <v>699</v>
      </c>
      <c r="N170" s="11" t="s">
        <v>75</v>
      </c>
      <c r="O170" s="11">
        <v>50</v>
      </c>
      <c r="P170" s="11">
        <v>170</v>
      </c>
      <c r="Q170" s="46" t="s">
        <v>700</v>
      </c>
      <c r="R170" s="44" t="s">
        <v>701</v>
      </c>
      <c r="S170" s="11" t="s">
        <v>28</v>
      </c>
      <c r="T170" s="11" t="s">
        <v>40</v>
      </c>
      <c r="U170" s="11" t="s">
        <v>326</v>
      </c>
      <c r="V170" s="11" t="s">
        <v>40</v>
      </c>
      <c r="W170" s="11" t="s">
        <v>40</v>
      </c>
      <c r="X170" s="46" t="s">
        <v>702</v>
      </c>
      <c r="Y170" s="11" t="s">
        <v>388</v>
      </c>
      <c r="Z170" s="11" t="s">
        <v>72</v>
      </c>
      <c r="AA170" s="24">
        <v>0</v>
      </c>
      <c r="AB170" s="24">
        <v>2.5</v>
      </c>
      <c r="AC170" s="25">
        <v>120546.59</v>
      </c>
      <c r="AD170" s="12">
        <v>0</v>
      </c>
      <c r="AE170" s="12">
        <v>0</v>
      </c>
      <c r="AF170" s="46"/>
    </row>
    <row r="171" spans="1:32" ht="22.5" customHeight="1" x14ac:dyDescent="0.25">
      <c r="A171" s="8">
        <v>170</v>
      </c>
      <c r="B171" s="9">
        <v>46050</v>
      </c>
      <c r="C171" s="10">
        <v>0.85069444444444442</v>
      </c>
      <c r="D171" s="11" t="s">
        <v>394</v>
      </c>
      <c r="E171" s="11" t="s">
        <v>45</v>
      </c>
      <c r="F171" s="11" t="s">
        <v>698</v>
      </c>
      <c r="G171" s="11" t="s">
        <v>28</v>
      </c>
      <c r="H171" s="11" t="s">
        <v>396</v>
      </c>
      <c r="I171" s="11" t="s">
        <v>102</v>
      </c>
      <c r="J171" s="11" t="s">
        <v>110</v>
      </c>
      <c r="K171" s="11" t="s">
        <v>65</v>
      </c>
      <c r="L171" s="11">
        <v>85</v>
      </c>
      <c r="M171" s="11" t="s">
        <v>703</v>
      </c>
      <c r="N171" s="11" t="s">
        <v>34</v>
      </c>
      <c r="O171" s="11">
        <v>336</v>
      </c>
      <c r="P171" s="11">
        <v>293</v>
      </c>
      <c r="Q171" s="46" t="s">
        <v>704</v>
      </c>
      <c r="R171" s="44" t="s">
        <v>705</v>
      </c>
      <c r="S171" s="11" t="s">
        <v>28</v>
      </c>
      <c r="T171" s="11" t="s">
        <v>40</v>
      </c>
      <c r="U171" s="11" t="s">
        <v>326</v>
      </c>
      <c r="V171" s="11" t="s">
        <v>40</v>
      </c>
      <c r="W171" s="11" t="s">
        <v>40</v>
      </c>
      <c r="X171" s="46" t="s">
        <v>706</v>
      </c>
      <c r="Y171" s="11" t="s">
        <v>309</v>
      </c>
      <c r="Z171" s="11" t="s">
        <v>123</v>
      </c>
      <c r="AA171" s="24">
        <v>0</v>
      </c>
      <c r="AB171" s="24">
        <v>0</v>
      </c>
      <c r="AC171" s="25">
        <v>120546.59</v>
      </c>
      <c r="AD171" s="12">
        <v>0</v>
      </c>
      <c r="AE171" s="12">
        <v>0</v>
      </c>
      <c r="AF171" s="46"/>
    </row>
    <row r="172" spans="1:32" ht="22.5" customHeight="1" x14ac:dyDescent="0.25">
      <c r="A172" s="8">
        <v>171</v>
      </c>
      <c r="B172" s="9">
        <v>46051</v>
      </c>
      <c r="C172" s="10">
        <v>4.8611111111111112E-2</v>
      </c>
      <c r="D172" s="11" t="s">
        <v>616</v>
      </c>
      <c r="E172" s="11" t="s">
        <v>73</v>
      </c>
      <c r="F172" s="11" t="s">
        <v>617</v>
      </c>
      <c r="G172" s="11" t="s">
        <v>63</v>
      </c>
      <c r="H172" s="11" t="s">
        <v>49</v>
      </c>
      <c r="I172" s="11" t="s">
        <v>472</v>
      </c>
      <c r="J172" s="11" t="s">
        <v>110</v>
      </c>
      <c r="K172" s="11" t="s">
        <v>65</v>
      </c>
      <c r="L172" s="11">
        <v>86</v>
      </c>
      <c r="M172" s="11" t="s">
        <v>707</v>
      </c>
      <c r="N172" s="11" t="s">
        <v>34</v>
      </c>
      <c r="O172" s="11">
        <v>336</v>
      </c>
      <c r="P172" s="11">
        <v>293</v>
      </c>
      <c r="Q172" s="46" t="s">
        <v>708</v>
      </c>
      <c r="R172" s="44" t="s">
        <v>709</v>
      </c>
      <c r="S172" s="11" t="s">
        <v>63</v>
      </c>
      <c r="T172" s="11" t="s">
        <v>40</v>
      </c>
      <c r="U172" s="11" t="s">
        <v>710</v>
      </c>
      <c r="V172" s="11" t="s">
        <v>40</v>
      </c>
      <c r="W172" s="11" t="s">
        <v>40</v>
      </c>
      <c r="X172" s="46" t="s">
        <v>711</v>
      </c>
      <c r="Y172" s="11" t="s">
        <v>638</v>
      </c>
      <c r="Z172" s="11" t="s">
        <v>123</v>
      </c>
      <c r="AA172" s="24">
        <v>0</v>
      </c>
      <c r="AB172" s="24">
        <v>16.8</v>
      </c>
      <c r="AC172" s="12">
        <v>44717.22</v>
      </c>
      <c r="AD172" s="12">
        <v>0</v>
      </c>
      <c r="AE172" s="12">
        <v>0</v>
      </c>
      <c r="AF172" s="46"/>
    </row>
    <row r="173" spans="1:32" ht="22.5" customHeight="1" x14ac:dyDescent="0.25">
      <c r="A173" s="8">
        <v>172</v>
      </c>
      <c r="B173" s="9">
        <v>46051</v>
      </c>
      <c r="C173" s="10">
        <v>7.2916666666666671E-2</v>
      </c>
      <c r="D173" s="11" t="s">
        <v>394</v>
      </c>
      <c r="E173" s="24" t="s">
        <v>45</v>
      </c>
      <c r="F173" s="11" t="s">
        <v>698</v>
      </c>
      <c r="G173" s="11" t="s">
        <v>28</v>
      </c>
      <c r="H173" s="11" t="s">
        <v>396</v>
      </c>
      <c r="I173" s="11" t="s">
        <v>102</v>
      </c>
      <c r="J173" s="11" t="s">
        <v>110</v>
      </c>
      <c r="K173" s="11" t="s">
        <v>65</v>
      </c>
      <c r="L173" s="11">
        <v>87</v>
      </c>
      <c r="M173" s="11" t="s">
        <v>712</v>
      </c>
      <c r="N173" s="11" t="s">
        <v>223</v>
      </c>
      <c r="O173" s="11">
        <v>3300</v>
      </c>
      <c r="P173" s="11">
        <v>2555</v>
      </c>
      <c r="Q173" s="46" t="s">
        <v>713</v>
      </c>
      <c r="R173" s="44" t="s">
        <v>714</v>
      </c>
      <c r="S173" s="11" t="s">
        <v>28</v>
      </c>
      <c r="T173" s="11" t="s">
        <v>40</v>
      </c>
      <c r="U173" s="11" t="s">
        <v>715</v>
      </c>
      <c r="V173" s="11" t="s">
        <v>40</v>
      </c>
      <c r="W173" s="11" t="s">
        <v>80</v>
      </c>
      <c r="X173" s="46" t="s">
        <v>716</v>
      </c>
      <c r="Y173" s="11" t="s">
        <v>309</v>
      </c>
      <c r="Z173" s="11" t="s">
        <v>123</v>
      </c>
      <c r="AA173" s="24">
        <v>0</v>
      </c>
      <c r="AB173" s="24">
        <v>0</v>
      </c>
      <c r="AC173" s="25">
        <v>120546.59</v>
      </c>
      <c r="AD173" s="12">
        <v>0</v>
      </c>
      <c r="AE173" s="12">
        <v>0</v>
      </c>
      <c r="AF173" s="46"/>
    </row>
    <row r="174" spans="1:32" ht="22.5" customHeight="1" x14ac:dyDescent="0.25">
      <c r="A174" s="8">
        <v>173</v>
      </c>
      <c r="B174" s="9">
        <v>46051</v>
      </c>
      <c r="C174" s="10">
        <v>0.27083333333333331</v>
      </c>
      <c r="D174" s="11" t="s">
        <v>616</v>
      </c>
      <c r="E174" s="11" t="s">
        <v>73</v>
      </c>
      <c r="F174" s="11" t="s">
        <v>617</v>
      </c>
      <c r="G174" s="11" t="s">
        <v>63</v>
      </c>
      <c r="H174" s="11" t="s">
        <v>49</v>
      </c>
      <c r="I174" s="11" t="s">
        <v>472</v>
      </c>
      <c r="J174" s="11" t="s">
        <v>110</v>
      </c>
      <c r="K174" s="11" t="s">
        <v>65</v>
      </c>
      <c r="L174" s="11">
        <v>86</v>
      </c>
      <c r="M174" s="11" t="s">
        <v>707</v>
      </c>
      <c r="N174" s="11" t="s">
        <v>34</v>
      </c>
      <c r="O174" s="11">
        <v>336</v>
      </c>
      <c r="P174" s="11">
        <v>293</v>
      </c>
      <c r="Q174" s="46" t="s">
        <v>717</v>
      </c>
      <c r="R174" s="44" t="s">
        <v>718</v>
      </c>
      <c r="S174" s="11" t="s">
        <v>63</v>
      </c>
      <c r="T174" s="11" t="s">
        <v>40</v>
      </c>
      <c r="U174" s="11" t="s">
        <v>710</v>
      </c>
      <c r="V174" s="11" t="s">
        <v>40</v>
      </c>
      <c r="W174" s="11" t="s">
        <v>40</v>
      </c>
      <c r="X174" s="46" t="s">
        <v>719</v>
      </c>
      <c r="Y174" s="11" t="s">
        <v>632</v>
      </c>
      <c r="Z174" s="11" t="s">
        <v>72</v>
      </c>
      <c r="AA174" s="24">
        <v>0</v>
      </c>
      <c r="AB174" s="24">
        <v>0</v>
      </c>
      <c r="AC174" s="12">
        <v>44717.22</v>
      </c>
      <c r="AD174" s="12">
        <v>0</v>
      </c>
      <c r="AE174" s="12">
        <v>0</v>
      </c>
      <c r="AF174" s="46"/>
    </row>
    <row r="175" spans="1:32" ht="22.5" customHeight="1" x14ac:dyDescent="0.25">
      <c r="A175" s="8">
        <v>174</v>
      </c>
      <c r="B175" s="30">
        <v>46051</v>
      </c>
      <c r="C175" s="27">
        <v>0.39583333333333331</v>
      </c>
      <c r="D175" s="26" t="s">
        <v>616</v>
      </c>
      <c r="E175" s="22" t="s">
        <v>73</v>
      </c>
      <c r="F175" s="26" t="s">
        <v>617</v>
      </c>
      <c r="G175" s="26" t="s">
        <v>63</v>
      </c>
      <c r="H175" s="26" t="s">
        <v>49</v>
      </c>
      <c r="I175" s="26" t="s">
        <v>472</v>
      </c>
      <c r="J175" s="26" t="s">
        <v>214</v>
      </c>
      <c r="K175" s="26" t="s">
        <v>214</v>
      </c>
      <c r="L175" s="26"/>
      <c r="M175" s="26" t="s">
        <v>707</v>
      </c>
      <c r="N175" s="26"/>
      <c r="O175" s="26"/>
      <c r="P175" s="26"/>
      <c r="Q175" s="49" t="s">
        <v>720</v>
      </c>
      <c r="R175" s="44" t="s">
        <v>247</v>
      </c>
      <c r="S175" s="26" t="s">
        <v>63</v>
      </c>
      <c r="T175" s="26" t="s">
        <v>40</v>
      </c>
      <c r="U175" s="26" t="s">
        <v>721</v>
      </c>
      <c r="V175" s="17" t="s">
        <v>40</v>
      </c>
      <c r="W175" s="17" t="s">
        <v>40</v>
      </c>
      <c r="X175" s="49"/>
      <c r="Y175" s="26" t="s">
        <v>632</v>
      </c>
      <c r="Z175" s="26" t="s">
        <v>72</v>
      </c>
      <c r="AA175" s="24">
        <v>0</v>
      </c>
      <c r="AB175" s="24">
        <v>0</v>
      </c>
      <c r="AC175" s="19">
        <v>44717.22</v>
      </c>
      <c r="AD175" s="12">
        <f>AA175/24*AC175</f>
        <v>0</v>
      </c>
      <c r="AE175" s="12">
        <f>AB175/24*AC175</f>
        <v>0</v>
      </c>
      <c r="AF175" s="49"/>
    </row>
    <row r="176" spans="1:32" ht="22.5" customHeight="1" x14ac:dyDescent="0.25">
      <c r="A176" s="8">
        <v>175</v>
      </c>
      <c r="B176" s="9">
        <v>46051</v>
      </c>
      <c r="C176" s="10">
        <v>0.4548611111111111</v>
      </c>
      <c r="D176" s="11" t="s">
        <v>310</v>
      </c>
      <c r="E176" s="24" t="s">
        <v>45</v>
      </c>
      <c r="F176" s="11" t="s">
        <v>311</v>
      </c>
      <c r="G176" s="11" t="s">
        <v>179</v>
      </c>
      <c r="H176" s="11" t="s">
        <v>29</v>
      </c>
      <c r="I176" s="11" t="s">
        <v>30</v>
      </c>
      <c r="J176" s="11" t="s">
        <v>64</v>
      </c>
      <c r="K176" s="11" t="s">
        <v>32</v>
      </c>
      <c r="L176" s="11">
        <v>87</v>
      </c>
      <c r="M176" s="11" t="s">
        <v>32</v>
      </c>
      <c r="N176" s="11" t="s">
        <v>722</v>
      </c>
      <c r="O176" s="11">
        <v>0</v>
      </c>
      <c r="P176" s="11">
        <v>835</v>
      </c>
      <c r="Q176" s="46" t="s">
        <v>723</v>
      </c>
      <c r="R176" s="44" t="s">
        <v>724</v>
      </c>
      <c r="S176" s="11" t="s">
        <v>179</v>
      </c>
      <c r="T176" s="11" t="s">
        <v>40</v>
      </c>
      <c r="U176" s="11" t="s">
        <v>715</v>
      </c>
      <c r="V176" s="11" t="s">
        <v>40</v>
      </c>
      <c r="W176" s="11" t="s">
        <v>40</v>
      </c>
      <c r="X176" s="46" t="s">
        <v>725</v>
      </c>
      <c r="Y176" s="11" t="s">
        <v>388</v>
      </c>
      <c r="Z176" s="11" t="s">
        <v>72</v>
      </c>
      <c r="AA176" s="11">
        <v>0</v>
      </c>
      <c r="AB176" s="11">
        <v>0</v>
      </c>
      <c r="AC176" s="25">
        <v>120546.59</v>
      </c>
      <c r="AD176" s="12">
        <v>0</v>
      </c>
      <c r="AE176" s="12">
        <v>0</v>
      </c>
      <c r="AF176" s="46"/>
    </row>
    <row r="177" spans="1:32" ht="22.5" customHeight="1" x14ac:dyDescent="0.25">
      <c r="A177" s="8">
        <v>176</v>
      </c>
      <c r="B177" s="9">
        <v>46051</v>
      </c>
      <c r="C177" s="10">
        <v>0.89236111111111116</v>
      </c>
      <c r="D177" s="11" t="s">
        <v>310</v>
      </c>
      <c r="E177" s="24" t="s">
        <v>45</v>
      </c>
      <c r="F177" s="11" t="s">
        <v>311</v>
      </c>
      <c r="G177" s="11" t="s">
        <v>179</v>
      </c>
      <c r="H177" s="11" t="s">
        <v>29</v>
      </c>
      <c r="I177" s="11" t="s">
        <v>30</v>
      </c>
      <c r="J177" s="11" t="s">
        <v>64</v>
      </c>
      <c r="K177" s="11" t="s">
        <v>32</v>
      </c>
      <c r="L177" s="11">
        <v>87</v>
      </c>
      <c r="M177" s="11" t="s">
        <v>32</v>
      </c>
      <c r="N177" s="11" t="s">
        <v>726</v>
      </c>
      <c r="O177" s="11">
        <v>0</v>
      </c>
      <c r="P177" s="11">
        <v>620</v>
      </c>
      <c r="Q177" s="46" t="s">
        <v>727</v>
      </c>
      <c r="R177" s="44" t="s">
        <v>728</v>
      </c>
      <c r="S177" s="11" t="s">
        <v>179</v>
      </c>
      <c r="T177" s="11" t="s">
        <v>40</v>
      </c>
      <c r="U177" s="11" t="s">
        <v>729</v>
      </c>
      <c r="V177" s="11" t="s">
        <v>40</v>
      </c>
      <c r="W177" s="11" t="s">
        <v>40</v>
      </c>
      <c r="X177" s="46" t="s">
        <v>730</v>
      </c>
      <c r="Y177" s="11" t="s">
        <v>309</v>
      </c>
      <c r="Z177" s="11" t="s">
        <v>123</v>
      </c>
      <c r="AA177" s="11">
        <v>0</v>
      </c>
      <c r="AB177" s="11">
        <v>0</v>
      </c>
      <c r="AC177" s="25">
        <v>120546.59</v>
      </c>
      <c r="AD177" s="12">
        <v>0</v>
      </c>
      <c r="AE177" s="12">
        <v>0</v>
      </c>
      <c r="AF177" s="46"/>
    </row>
    <row r="178" spans="1:32" ht="22.5" customHeight="1" x14ac:dyDescent="0.25">
      <c r="A178" s="8">
        <v>177</v>
      </c>
      <c r="B178" s="9">
        <v>46052</v>
      </c>
      <c r="C178" s="10">
        <v>0.1361111111111111</v>
      </c>
      <c r="D178" s="11" t="s">
        <v>580</v>
      </c>
      <c r="E178" s="11" t="s">
        <v>73</v>
      </c>
      <c r="F178" s="11" t="s">
        <v>581</v>
      </c>
      <c r="G178" s="11" t="s">
        <v>613</v>
      </c>
      <c r="H178" s="11" t="s">
        <v>49</v>
      </c>
      <c r="I178" s="11" t="s">
        <v>472</v>
      </c>
      <c r="J178" s="11" t="s">
        <v>92</v>
      </c>
      <c r="K178" s="11" t="s">
        <v>65</v>
      </c>
      <c r="L178" s="11">
        <v>88</v>
      </c>
      <c r="M178" s="11" t="s">
        <v>731</v>
      </c>
      <c r="N178" s="11" t="s">
        <v>313</v>
      </c>
      <c r="O178" s="11">
        <v>10</v>
      </c>
      <c r="P178" s="11" t="s">
        <v>732</v>
      </c>
      <c r="Q178" s="46" t="s">
        <v>733</v>
      </c>
      <c r="R178" s="44" t="s">
        <v>734</v>
      </c>
      <c r="S178" s="11" t="s">
        <v>613</v>
      </c>
      <c r="T178" s="11" t="s">
        <v>40</v>
      </c>
      <c r="U178" s="11" t="s">
        <v>735</v>
      </c>
      <c r="V178" s="11" t="s">
        <v>40</v>
      </c>
      <c r="W178" s="11" t="s">
        <v>40</v>
      </c>
      <c r="X178" s="46" t="s">
        <v>736</v>
      </c>
      <c r="Y178" s="11" t="s">
        <v>648</v>
      </c>
      <c r="Z178" s="11" t="s">
        <v>123</v>
      </c>
      <c r="AA178" s="24">
        <v>0</v>
      </c>
      <c r="AB178" s="24">
        <v>2.5</v>
      </c>
      <c r="AC178" s="12">
        <v>44717.22</v>
      </c>
      <c r="AD178" s="12">
        <f>AA178/24*AC178</f>
        <v>0</v>
      </c>
      <c r="AE178" s="12">
        <f>AB178/24*AC178</f>
        <v>4658.0437500000007</v>
      </c>
      <c r="AF178" s="46"/>
    </row>
    <row r="179" spans="1:32" ht="22.5" customHeight="1" x14ac:dyDescent="0.25">
      <c r="A179" s="8">
        <v>178</v>
      </c>
      <c r="B179" s="9">
        <v>46052</v>
      </c>
      <c r="C179" s="10">
        <v>0.14583333333333334</v>
      </c>
      <c r="D179" s="11" t="s">
        <v>580</v>
      </c>
      <c r="E179" s="11" t="s">
        <v>73</v>
      </c>
      <c r="F179" s="11" t="s">
        <v>581</v>
      </c>
      <c r="G179" s="11" t="s">
        <v>613</v>
      </c>
      <c r="H179" s="11" t="s">
        <v>49</v>
      </c>
      <c r="I179" s="11" t="s">
        <v>472</v>
      </c>
      <c r="J179" s="11" t="s">
        <v>92</v>
      </c>
      <c r="K179" s="11" t="s">
        <v>65</v>
      </c>
      <c r="L179" s="11">
        <v>88</v>
      </c>
      <c r="M179" s="11" t="s">
        <v>731</v>
      </c>
      <c r="N179" s="11" t="s">
        <v>313</v>
      </c>
      <c r="O179" s="11">
        <v>15</v>
      </c>
      <c r="P179" s="11">
        <v>20</v>
      </c>
      <c r="Q179" s="46" t="s">
        <v>737</v>
      </c>
      <c r="R179" s="44" t="s">
        <v>738</v>
      </c>
      <c r="S179" s="11" t="s">
        <v>613</v>
      </c>
      <c r="T179" s="11" t="s">
        <v>40</v>
      </c>
      <c r="U179" s="11" t="s">
        <v>739</v>
      </c>
      <c r="V179" s="11" t="s">
        <v>40</v>
      </c>
      <c r="W179" s="11" t="s">
        <v>40</v>
      </c>
      <c r="X179" s="46" t="s">
        <v>740</v>
      </c>
      <c r="Y179" s="11" t="s">
        <v>648</v>
      </c>
      <c r="Z179" s="11" t="s">
        <v>123</v>
      </c>
      <c r="AA179" s="24">
        <v>0</v>
      </c>
      <c r="AB179" s="24">
        <v>2.5</v>
      </c>
      <c r="AC179" s="12">
        <v>44717.22</v>
      </c>
      <c r="AD179" s="12">
        <f>AA179/24*AC179</f>
        <v>0</v>
      </c>
      <c r="AE179" s="12">
        <f>AB179/24*AC179</f>
        <v>4658.0437500000007</v>
      </c>
      <c r="AF179" s="46"/>
    </row>
    <row r="180" spans="1:32" ht="22.5" customHeight="1" x14ac:dyDescent="0.25">
      <c r="A180" s="8">
        <v>179</v>
      </c>
      <c r="B180" s="9">
        <v>46053</v>
      </c>
      <c r="C180" s="10">
        <v>0.65625</v>
      </c>
      <c r="D180" s="11" t="s">
        <v>616</v>
      </c>
      <c r="E180" s="11" t="s">
        <v>73</v>
      </c>
      <c r="F180" s="11" t="s">
        <v>617</v>
      </c>
      <c r="G180" s="11" t="s">
        <v>63</v>
      </c>
      <c r="H180" s="11" t="s">
        <v>49</v>
      </c>
      <c r="I180" s="11" t="s">
        <v>472</v>
      </c>
      <c r="J180" s="11" t="s">
        <v>92</v>
      </c>
      <c r="K180" s="11" t="s">
        <v>65</v>
      </c>
      <c r="L180" s="11">
        <v>89</v>
      </c>
      <c r="M180" s="11" t="s">
        <v>741</v>
      </c>
      <c r="N180" s="11" t="s">
        <v>742</v>
      </c>
      <c r="O180" s="11">
        <v>25</v>
      </c>
      <c r="P180" s="11">
        <v>50</v>
      </c>
      <c r="Q180" s="46" t="s">
        <v>743</v>
      </c>
      <c r="R180" s="44" t="s">
        <v>744</v>
      </c>
      <c r="S180" s="11" t="s">
        <v>445</v>
      </c>
      <c r="T180" s="11" t="s">
        <v>40</v>
      </c>
      <c r="U180" s="11" t="s">
        <v>745</v>
      </c>
      <c r="V180" s="11" t="s">
        <v>40</v>
      </c>
      <c r="W180" s="11" t="s">
        <v>572</v>
      </c>
      <c r="X180" s="46" t="s">
        <v>746</v>
      </c>
      <c r="Y180" s="11" t="s">
        <v>682</v>
      </c>
      <c r="Z180" s="11" t="s">
        <v>72</v>
      </c>
      <c r="AA180" s="24">
        <v>0</v>
      </c>
      <c r="AB180" s="24">
        <v>0</v>
      </c>
      <c r="AC180" s="12">
        <v>44717.22</v>
      </c>
      <c r="AD180" s="12">
        <f>AA180/24*AC180</f>
        <v>0</v>
      </c>
      <c r="AE180" s="12">
        <f>AB180/24*AC180</f>
        <v>0</v>
      </c>
      <c r="AF180" s="46"/>
    </row>
    <row r="181" spans="1:32" ht="22.5" customHeight="1" x14ac:dyDescent="0.25">
      <c r="A181" s="8">
        <v>180</v>
      </c>
      <c r="B181" s="9">
        <v>46052</v>
      </c>
      <c r="C181" s="10">
        <v>0.84166666666666667</v>
      </c>
      <c r="D181" s="11" t="s">
        <v>747</v>
      </c>
      <c r="E181" s="11" t="s">
        <v>73</v>
      </c>
      <c r="F181" s="11" t="s">
        <v>748</v>
      </c>
      <c r="G181" s="11" t="s">
        <v>587</v>
      </c>
      <c r="H181" s="11" t="s">
        <v>49</v>
      </c>
      <c r="I181" s="11" t="s">
        <v>472</v>
      </c>
      <c r="J181" s="11" t="s">
        <v>92</v>
      </c>
      <c r="K181" s="11" t="s">
        <v>65</v>
      </c>
      <c r="L181" s="11">
        <v>90</v>
      </c>
      <c r="M181" s="11" t="s">
        <v>731</v>
      </c>
      <c r="N181" s="11" t="s">
        <v>75</v>
      </c>
      <c r="O181" s="11" t="s">
        <v>749</v>
      </c>
      <c r="P181" s="11">
        <v>3</v>
      </c>
      <c r="Q181" s="46" t="s">
        <v>750</v>
      </c>
      <c r="R181" s="44" t="s">
        <v>751</v>
      </c>
      <c r="S181" s="11" t="s">
        <v>587</v>
      </c>
      <c r="T181" s="11" t="s">
        <v>40</v>
      </c>
      <c r="U181" s="11" t="s">
        <v>752</v>
      </c>
      <c r="V181" s="11" t="s">
        <v>40</v>
      </c>
      <c r="W181" s="11" t="s">
        <v>40</v>
      </c>
      <c r="X181" s="46" t="s">
        <v>753</v>
      </c>
      <c r="Y181" s="11" t="s">
        <v>641</v>
      </c>
      <c r="Z181" s="11" t="s">
        <v>123</v>
      </c>
      <c r="AA181" s="24">
        <v>0</v>
      </c>
      <c r="AB181" s="24">
        <v>0</v>
      </c>
      <c r="AC181" s="12">
        <v>44717.22</v>
      </c>
      <c r="AD181" s="12">
        <f>AA181/24*AC181</f>
        <v>0</v>
      </c>
      <c r="AE181" s="12">
        <f>AB181/24*AC181</f>
        <v>0</v>
      </c>
      <c r="AF181" s="46"/>
    </row>
    <row r="182" spans="1:32" ht="22.5" customHeight="1" x14ac:dyDescent="0.25">
      <c r="A182" s="8">
        <v>181</v>
      </c>
      <c r="B182" s="9">
        <v>46052</v>
      </c>
      <c r="C182" s="10">
        <v>0.87152777777777779</v>
      </c>
      <c r="D182" s="11" t="s">
        <v>616</v>
      </c>
      <c r="E182" s="11" t="s">
        <v>73</v>
      </c>
      <c r="F182" s="11" t="s">
        <v>617</v>
      </c>
      <c r="G182" s="11" t="s">
        <v>63</v>
      </c>
      <c r="H182" s="11" t="s">
        <v>49</v>
      </c>
      <c r="I182" s="11" t="s">
        <v>472</v>
      </c>
      <c r="J182" s="11" t="s">
        <v>110</v>
      </c>
      <c r="K182" s="11" t="s">
        <v>65</v>
      </c>
      <c r="L182" s="11">
        <v>91</v>
      </c>
      <c r="M182" s="11" t="s">
        <v>170</v>
      </c>
      <c r="N182" s="11"/>
      <c r="O182" s="11"/>
      <c r="P182" s="11"/>
      <c r="Q182" s="46" t="s">
        <v>754</v>
      </c>
      <c r="R182" s="44" t="s">
        <v>755</v>
      </c>
      <c r="S182" s="11" t="s">
        <v>63</v>
      </c>
      <c r="T182" s="11" t="s">
        <v>40</v>
      </c>
      <c r="U182" s="11" t="s">
        <v>756</v>
      </c>
      <c r="V182" s="11" t="s">
        <v>40</v>
      </c>
      <c r="W182" s="11" t="s">
        <v>40</v>
      </c>
      <c r="X182" s="46" t="s">
        <v>757</v>
      </c>
      <c r="Y182" s="11" t="s">
        <v>641</v>
      </c>
      <c r="Z182" s="11" t="s">
        <v>123</v>
      </c>
      <c r="AA182" s="24">
        <v>0</v>
      </c>
      <c r="AB182" s="24">
        <v>0</v>
      </c>
      <c r="AC182" s="12">
        <v>44717.22</v>
      </c>
      <c r="AD182" s="12">
        <v>0</v>
      </c>
      <c r="AE182" s="12">
        <v>0</v>
      </c>
      <c r="AF182" s="46"/>
    </row>
    <row r="183" spans="1:32" ht="22.5" customHeight="1" x14ac:dyDescent="0.25">
      <c r="A183" s="8">
        <v>182</v>
      </c>
      <c r="B183" s="30">
        <v>46053</v>
      </c>
      <c r="C183" s="27">
        <v>2.361111111111111E-2</v>
      </c>
      <c r="D183" s="26" t="s">
        <v>585</v>
      </c>
      <c r="E183" s="22" t="s">
        <v>73</v>
      </c>
      <c r="F183" s="26" t="s">
        <v>586</v>
      </c>
      <c r="G183" s="26" t="s">
        <v>587</v>
      </c>
      <c r="H183" s="26" t="s">
        <v>49</v>
      </c>
      <c r="I183" s="26" t="s">
        <v>472</v>
      </c>
      <c r="J183" s="26" t="s">
        <v>214</v>
      </c>
      <c r="K183" s="26" t="s">
        <v>193</v>
      </c>
      <c r="L183" s="26">
        <v>92</v>
      </c>
      <c r="M183" s="26" t="s">
        <v>758</v>
      </c>
      <c r="N183" s="26"/>
      <c r="O183" s="26"/>
      <c r="P183" s="26"/>
      <c r="Q183" s="49" t="s">
        <v>759</v>
      </c>
      <c r="R183" s="44" t="s">
        <v>760</v>
      </c>
      <c r="S183" s="26" t="s">
        <v>587</v>
      </c>
      <c r="T183" s="26" t="s">
        <v>40</v>
      </c>
      <c r="U183" s="26" t="s">
        <v>761</v>
      </c>
      <c r="V183" s="17" t="s">
        <v>40</v>
      </c>
      <c r="W183" s="17" t="s">
        <v>40</v>
      </c>
      <c r="X183" s="49" t="s">
        <v>694</v>
      </c>
      <c r="Y183" s="26" t="s">
        <v>648</v>
      </c>
      <c r="Z183" s="26" t="s">
        <v>123</v>
      </c>
      <c r="AA183" s="24">
        <v>0</v>
      </c>
      <c r="AB183" s="24">
        <v>0</v>
      </c>
      <c r="AC183" s="19">
        <v>44717.22</v>
      </c>
      <c r="AD183" s="12">
        <f>AA183/24*AC183</f>
        <v>0</v>
      </c>
      <c r="AE183" s="12">
        <f>AB183/24*AC183</f>
        <v>0</v>
      </c>
      <c r="AF183" s="49"/>
    </row>
    <row r="184" spans="1:32" ht="22.5" customHeight="1" x14ac:dyDescent="0.25">
      <c r="A184" s="8">
        <v>183</v>
      </c>
      <c r="B184" s="9">
        <v>46053</v>
      </c>
      <c r="C184" s="10">
        <v>0.1423611111111111</v>
      </c>
      <c r="D184" s="11" t="s">
        <v>580</v>
      </c>
      <c r="E184" s="11" t="s">
        <v>73</v>
      </c>
      <c r="F184" s="11" t="s">
        <v>581</v>
      </c>
      <c r="G184" s="11" t="s">
        <v>613</v>
      </c>
      <c r="H184" s="11" t="s">
        <v>49</v>
      </c>
      <c r="I184" s="11" t="s">
        <v>472</v>
      </c>
      <c r="J184" s="11" t="s">
        <v>92</v>
      </c>
      <c r="K184" s="11" t="s">
        <v>65</v>
      </c>
      <c r="L184" s="11">
        <v>88</v>
      </c>
      <c r="M184" s="11" t="s">
        <v>731</v>
      </c>
      <c r="N184" s="11" t="s">
        <v>75</v>
      </c>
      <c r="O184" s="11" t="s">
        <v>749</v>
      </c>
      <c r="P184" s="11">
        <v>5</v>
      </c>
      <c r="Q184" s="46" t="s">
        <v>762</v>
      </c>
      <c r="R184" s="44" t="s">
        <v>763</v>
      </c>
      <c r="S184" s="11" t="s">
        <v>587</v>
      </c>
      <c r="T184" s="11" t="s">
        <v>40</v>
      </c>
      <c r="U184" s="11" t="s">
        <v>764</v>
      </c>
      <c r="V184" s="11" t="s">
        <v>40</v>
      </c>
      <c r="W184" s="11" t="s">
        <v>40</v>
      </c>
      <c r="X184" s="46" t="s">
        <v>765</v>
      </c>
      <c r="Y184" s="11" t="s">
        <v>648</v>
      </c>
      <c r="Z184" s="11" t="s">
        <v>123</v>
      </c>
      <c r="AA184" s="24">
        <v>0</v>
      </c>
      <c r="AB184" s="24">
        <v>2.5</v>
      </c>
      <c r="AC184" s="12">
        <v>44717.22</v>
      </c>
      <c r="AD184" s="12">
        <f>AA184/24*AC184</f>
        <v>0</v>
      </c>
      <c r="AE184" s="12">
        <f>AB184/24*AC184</f>
        <v>4658.0437500000007</v>
      </c>
      <c r="AF184" s="46"/>
    </row>
    <row r="185" spans="1:32" ht="22.5" customHeight="1" x14ac:dyDescent="0.25">
      <c r="A185" s="8">
        <v>184</v>
      </c>
      <c r="B185" s="9">
        <v>46053</v>
      </c>
      <c r="C185" s="10">
        <v>0.15555555555555556</v>
      </c>
      <c r="D185" s="11" t="s">
        <v>616</v>
      </c>
      <c r="E185" s="11" t="s">
        <v>73</v>
      </c>
      <c r="F185" s="11" t="s">
        <v>617</v>
      </c>
      <c r="G185" s="11" t="s">
        <v>63</v>
      </c>
      <c r="H185" s="11" t="s">
        <v>49</v>
      </c>
      <c r="I185" s="11" t="s">
        <v>472</v>
      </c>
      <c r="J185" s="11" t="s">
        <v>110</v>
      </c>
      <c r="K185" s="11" t="s">
        <v>65</v>
      </c>
      <c r="L185" s="11">
        <v>93</v>
      </c>
      <c r="M185" s="11" t="s">
        <v>51</v>
      </c>
      <c r="N185" s="11" t="s">
        <v>313</v>
      </c>
      <c r="O185" s="11" t="s">
        <v>766</v>
      </c>
      <c r="P185" s="11">
        <v>10</v>
      </c>
      <c r="Q185" s="46" t="s">
        <v>767</v>
      </c>
      <c r="R185" s="44" t="s">
        <v>768</v>
      </c>
      <c r="S185" s="11" t="s">
        <v>63</v>
      </c>
      <c r="T185" s="11" t="s">
        <v>40</v>
      </c>
      <c r="U185" s="11" t="s">
        <v>769</v>
      </c>
      <c r="V185" s="11" t="s">
        <v>40</v>
      </c>
      <c r="W185" s="11" t="s">
        <v>40</v>
      </c>
      <c r="X185" s="46" t="s">
        <v>770</v>
      </c>
      <c r="Y185" s="11" t="s">
        <v>648</v>
      </c>
      <c r="Z185" s="11" t="s">
        <v>123</v>
      </c>
      <c r="AA185" s="24">
        <v>0</v>
      </c>
      <c r="AB185" s="24">
        <v>16.8</v>
      </c>
      <c r="AC185" s="12">
        <v>44717.22</v>
      </c>
      <c r="AD185" s="12">
        <v>0</v>
      </c>
      <c r="AE185" s="12">
        <v>0</v>
      </c>
      <c r="AF185" s="46"/>
    </row>
    <row r="186" spans="1:32" ht="22.5" customHeight="1" x14ac:dyDescent="0.25">
      <c r="A186" s="8">
        <v>185</v>
      </c>
      <c r="B186" s="9">
        <v>46053</v>
      </c>
      <c r="C186" s="10">
        <v>0.4375</v>
      </c>
      <c r="D186" s="11" t="s">
        <v>747</v>
      </c>
      <c r="E186" s="11" t="s">
        <v>73</v>
      </c>
      <c r="F186" s="11" t="s">
        <v>748</v>
      </c>
      <c r="G186" s="11" t="s">
        <v>587</v>
      </c>
      <c r="H186" s="11" t="s">
        <v>49</v>
      </c>
      <c r="I186" s="11" t="s">
        <v>472</v>
      </c>
      <c r="J186" s="11" t="s">
        <v>31</v>
      </c>
      <c r="K186" s="11" t="s">
        <v>65</v>
      </c>
      <c r="L186" s="11">
        <v>94</v>
      </c>
      <c r="M186" s="11" t="s">
        <v>318</v>
      </c>
      <c r="N186" s="11" t="s">
        <v>341</v>
      </c>
      <c r="O186" s="11"/>
      <c r="P186" s="11"/>
      <c r="Q186" s="46" t="s">
        <v>771</v>
      </c>
      <c r="R186" s="44" t="s">
        <v>772</v>
      </c>
      <c r="S186" s="11" t="s">
        <v>613</v>
      </c>
      <c r="T186" s="11" t="s">
        <v>80</v>
      </c>
      <c r="U186" s="11" t="s">
        <v>773</v>
      </c>
      <c r="V186" s="11" t="s">
        <v>80</v>
      </c>
      <c r="W186" s="11" t="s">
        <v>80</v>
      </c>
      <c r="X186" s="46"/>
      <c r="Y186" s="11" t="s">
        <v>632</v>
      </c>
      <c r="Z186" s="11" t="s">
        <v>72</v>
      </c>
      <c r="AA186" s="24">
        <v>0</v>
      </c>
      <c r="AB186" s="24">
        <v>10</v>
      </c>
      <c r="AC186" s="12">
        <v>44717.22</v>
      </c>
      <c r="AD186" s="12">
        <v>0</v>
      </c>
      <c r="AE186" s="12">
        <v>0</v>
      </c>
      <c r="AF186" s="46"/>
    </row>
    <row r="187" spans="1:32" ht="22.5" customHeight="1" x14ac:dyDescent="0.25">
      <c r="A187" s="8">
        <v>186</v>
      </c>
      <c r="B187" s="34">
        <v>46024</v>
      </c>
      <c r="C187" s="10">
        <v>5.5555555555555558E-3</v>
      </c>
      <c r="D187" s="11" t="s">
        <v>747</v>
      </c>
      <c r="E187" s="11" t="s">
        <v>73</v>
      </c>
      <c r="F187" s="11" t="s">
        <v>748</v>
      </c>
      <c r="G187" s="11" t="s">
        <v>587</v>
      </c>
      <c r="H187" s="11" t="s">
        <v>49</v>
      </c>
      <c r="I187" s="11" t="s">
        <v>472</v>
      </c>
      <c r="J187" s="11" t="s">
        <v>31</v>
      </c>
      <c r="K187" s="11" t="s">
        <v>65</v>
      </c>
      <c r="L187" s="11">
        <v>95</v>
      </c>
      <c r="M187" s="11" t="s">
        <v>51</v>
      </c>
      <c r="N187" s="11"/>
      <c r="O187" s="11"/>
      <c r="P187" s="11"/>
      <c r="Q187" s="46" t="s">
        <v>774</v>
      </c>
      <c r="R187" s="44" t="s">
        <v>775</v>
      </c>
      <c r="S187" s="11" t="s">
        <v>613</v>
      </c>
      <c r="T187" s="11" t="s">
        <v>80</v>
      </c>
      <c r="U187" s="11" t="s">
        <v>776</v>
      </c>
      <c r="V187" s="11" t="s">
        <v>80</v>
      </c>
      <c r="W187" s="11" t="s">
        <v>80</v>
      </c>
      <c r="X187" s="46" t="s">
        <v>777</v>
      </c>
      <c r="Y187" s="11" t="s">
        <v>778</v>
      </c>
      <c r="Z187" s="11" t="s">
        <v>123</v>
      </c>
      <c r="AA187" s="24">
        <v>0</v>
      </c>
      <c r="AB187" s="24">
        <v>0</v>
      </c>
      <c r="AC187" s="12">
        <v>44717.22</v>
      </c>
      <c r="AD187" s="12">
        <v>0</v>
      </c>
      <c r="AE187" s="12">
        <v>0</v>
      </c>
      <c r="AF187" s="46"/>
    </row>
    <row r="188" spans="1:32" ht="22.5" customHeight="1" x14ac:dyDescent="0.25">
      <c r="A188" s="8">
        <v>187</v>
      </c>
      <c r="B188" s="34">
        <v>46024</v>
      </c>
      <c r="C188" s="10">
        <v>0.15833333333333333</v>
      </c>
      <c r="D188" s="11" t="s">
        <v>747</v>
      </c>
      <c r="E188" s="11" t="s">
        <v>73</v>
      </c>
      <c r="F188" s="11" t="s">
        <v>748</v>
      </c>
      <c r="G188" s="11" t="s">
        <v>587</v>
      </c>
      <c r="H188" s="11" t="s">
        <v>49</v>
      </c>
      <c r="I188" s="11" t="s">
        <v>472</v>
      </c>
      <c r="J188" s="11" t="s">
        <v>92</v>
      </c>
      <c r="K188" s="11" t="s">
        <v>65</v>
      </c>
      <c r="L188" s="11">
        <v>95</v>
      </c>
      <c r="M188" s="11" t="s">
        <v>51</v>
      </c>
      <c r="N188" s="11"/>
      <c r="O188" s="11"/>
      <c r="P188" s="11"/>
      <c r="Q188" s="46" t="s">
        <v>779</v>
      </c>
      <c r="R188" s="44" t="s">
        <v>780</v>
      </c>
      <c r="S188" s="11" t="s">
        <v>613</v>
      </c>
      <c r="T188" s="11" t="s">
        <v>40</v>
      </c>
      <c r="U188" s="11" t="s">
        <v>781</v>
      </c>
      <c r="V188" s="11" t="s">
        <v>40</v>
      </c>
      <c r="W188" s="11" t="s">
        <v>40</v>
      </c>
      <c r="X188" s="46" t="s">
        <v>782</v>
      </c>
      <c r="Y188" s="11" t="s">
        <v>648</v>
      </c>
      <c r="Z188" s="11" t="s">
        <v>123</v>
      </c>
      <c r="AA188" s="24">
        <v>2</v>
      </c>
      <c r="AB188" s="24">
        <v>0</v>
      </c>
      <c r="AC188" s="12">
        <v>44717.22</v>
      </c>
      <c r="AD188" s="12">
        <f>AA188/24*AC188</f>
        <v>3726.4349999999999</v>
      </c>
      <c r="AE188" s="12">
        <f>AB188/24*AC188</f>
        <v>0</v>
      </c>
      <c r="AF188" s="46"/>
    </row>
    <row r="189" spans="1:32" ht="22.5" customHeight="1" x14ac:dyDescent="0.25">
      <c r="A189" s="8">
        <v>188</v>
      </c>
      <c r="B189" s="34">
        <v>46024</v>
      </c>
      <c r="C189" s="28"/>
      <c r="D189" s="29" t="s">
        <v>616</v>
      </c>
      <c r="E189" s="22" t="s">
        <v>73</v>
      </c>
      <c r="F189" s="29" t="s">
        <v>617</v>
      </c>
      <c r="G189" s="29" t="s">
        <v>63</v>
      </c>
      <c r="H189" s="29" t="s">
        <v>49</v>
      </c>
      <c r="I189" s="29" t="s">
        <v>472</v>
      </c>
      <c r="J189" s="29" t="s">
        <v>214</v>
      </c>
      <c r="K189" s="29"/>
      <c r="L189" s="29"/>
      <c r="M189" s="29" t="s">
        <v>783</v>
      </c>
      <c r="N189" s="29"/>
      <c r="O189" s="29"/>
      <c r="P189" s="29"/>
      <c r="Q189" s="50" t="s">
        <v>784</v>
      </c>
      <c r="R189" s="44" t="s">
        <v>785</v>
      </c>
      <c r="S189" s="29"/>
      <c r="T189" s="26" t="s">
        <v>40</v>
      </c>
      <c r="U189" s="29"/>
      <c r="V189" s="17" t="s">
        <v>40</v>
      </c>
      <c r="W189" s="17" t="s">
        <v>40</v>
      </c>
      <c r="X189" s="50"/>
      <c r="Y189" s="29"/>
      <c r="Z189" s="29"/>
      <c r="AA189" s="22">
        <v>0</v>
      </c>
      <c r="AB189" s="22">
        <v>0</v>
      </c>
      <c r="AC189" s="19">
        <v>44717.22</v>
      </c>
      <c r="AD189" s="12">
        <f>AA189/24*AC189</f>
        <v>0</v>
      </c>
      <c r="AE189" s="12">
        <f>AB189/24*AC189</f>
        <v>0</v>
      </c>
      <c r="AF189" s="50"/>
    </row>
    <row r="190" spans="1:32" ht="22.5" customHeight="1" x14ac:dyDescent="0.25">
      <c r="A190" s="8">
        <v>189</v>
      </c>
      <c r="B190" s="34">
        <v>46024</v>
      </c>
      <c r="C190" s="10">
        <v>0.35416666666666669</v>
      </c>
      <c r="D190" s="11" t="s">
        <v>580</v>
      </c>
      <c r="E190" s="11" t="s">
        <v>73</v>
      </c>
      <c r="F190" s="11" t="s">
        <v>581</v>
      </c>
      <c r="G190" s="11" t="s">
        <v>613</v>
      </c>
      <c r="H190" s="11" t="s">
        <v>49</v>
      </c>
      <c r="I190" s="11" t="s">
        <v>472</v>
      </c>
      <c r="J190" s="11" t="s">
        <v>92</v>
      </c>
      <c r="K190" s="11" t="s">
        <v>65</v>
      </c>
      <c r="L190" s="11">
        <v>88</v>
      </c>
      <c r="M190" s="11" t="s">
        <v>731</v>
      </c>
      <c r="N190" s="11" t="s">
        <v>75</v>
      </c>
      <c r="O190" s="11">
        <v>9</v>
      </c>
      <c r="P190" s="11">
        <v>5</v>
      </c>
      <c r="Q190" s="46" t="s">
        <v>786</v>
      </c>
      <c r="R190" s="44" t="s">
        <v>787</v>
      </c>
      <c r="S190" s="11" t="s">
        <v>613</v>
      </c>
      <c r="T190" s="11" t="s">
        <v>40</v>
      </c>
      <c r="U190" s="11" t="s">
        <v>752</v>
      </c>
      <c r="V190" s="11" t="s">
        <v>40</v>
      </c>
      <c r="W190" s="11" t="s">
        <v>80</v>
      </c>
      <c r="X190" s="46"/>
      <c r="Y190" s="11" t="s">
        <v>632</v>
      </c>
      <c r="Z190" s="11" t="s">
        <v>72</v>
      </c>
      <c r="AA190" s="24">
        <v>0</v>
      </c>
      <c r="AB190" s="24">
        <v>0</v>
      </c>
      <c r="AC190" s="12">
        <v>44717.22</v>
      </c>
      <c r="AD190" s="12">
        <f>AA190/24*AC190</f>
        <v>0</v>
      </c>
      <c r="AE190" s="12">
        <f>AB190/24*AC190</f>
        <v>0</v>
      </c>
      <c r="AF190" s="46"/>
    </row>
    <row r="191" spans="1:32" s="42" customFormat="1" ht="22.5" customHeight="1" x14ac:dyDescent="0.25">
      <c r="A191" s="8">
        <v>190</v>
      </c>
      <c r="B191" s="34">
        <v>46024</v>
      </c>
      <c r="C191" s="39">
        <v>0.5</v>
      </c>
      <c r="D191" s="38" t="s">
        <v>747</v>
      </c>
      <c r="E191" s="11" t="s">
        <v>73</v>
      </c>
      <c r="F191" s="38" t="s">
        <v>748</v>
      </c>
      <c r="G191" s="38" t="s">
        <v>587</v>
      </c>
      <c r="H191" s="38" t="s">
        <v>49</v>
      </c>
      <c r="I191" s="38" t="s">
        <v>472</v>
      </c>
      <c r="J191" s="38" t="s">
        <v>31</v>
      </c>
      <c r="K191" s="38" t="s">
        <v>65</v>
      </c>
      <c r="L191" s="38">
        <v>96</v>
      </c>
      <c r="M191" s="38" t="s">
        <v>788</v>
      </c>
      <c r="N191" s="38"/>
      <c r="O191" s="38"/>
      <c r="P191" s="38"/>
      <c r="Q191" s="51" t="s">
        <v>789</v>
      </c>
      <c r="R191" s="44" t="s">
        <v>790</v>
      </c>
      <c r="S191" s="38" t="s">
        <v>613</v>
      </c>
      <c r="T191" s="38" t="s">
        <v>40</v>
      </c>
      <c r="U191" s="38" t="s">
        <v>791</v>
      </c>
      <c r="V191" s="38" t="s">
        <v>40</v>
      </c>
      <c r="W191" s="38" t="s">
        <v>40</v>
      </c>
      <c r="X191" s="51" t="s">
        <v>792</v>
      </c>
      <c r="Y191" s="38" t="s">
        <v>632</v>
      </c>
      <c r="Z191" s="38" t="s">
        <v>72</v>
      </c>
      <c r="AA191" s="40">
        <v>0</v>
      </c>
      <c r="AB191" s="40">
        <v>0</v>
      </c>
      <c r="AC191" s="41">
        <v>44717.22</v>
      </c>
      <c r="AD191" s="41">
        <v>0</v>
      </c>
      <c r="AE191" s="41">
        <v>0</v>
      </c>
      <c r="AF191" s="51"/>
    </row>
    <row r="192" spans="1:32" ht="22.5" customHeight="1" x14ac:dyDescent="0.25">
      <c r="A192" s="8">
        <v>191</v>
      </c>
      <c r="B192" s="34">
        <v>46054</v>
      </c>
      <c r="C192" s="27">
        <v>0.55208333333333337</v>
      </c>
      <c r="D192" s="26" t="s">
        <v>310</v>
      </c>
      <c r="E192" s="11" t="s">
        <v>73</v>
      </c>
      <c r="F192" s="26" t="s">
        <v>311</v>
      </c>
      <c r="G192" s="26" t="s">
        <v>179</v>
      </c>
      <c r="H192" s="26" t="s">
        <v>29</v>
      </c>
      <c r="I192" s="26" t="s">
        <v>30</v>
      </c>
      <c r="J192" s="26" t="s">
        <v>110</v>
      </c>
      <c r="K192" s="26" t="s">
        <v>65</v>
      </c>
      <c r="L192" s="26">
        <v>97</v>
      </c>
      <c r="M192" s="26" t="s">
        <v>793</v>
      </c>
      <c r="N192" s="26" t="s">
        <v>34</v>
      </c>
      <c r="O192" s="26">
        <v>179</v>
      </c>
      <c r="P192" s="26">
        <v>185</v>
      </c>
      <c r="Q192" s="49" t="s">
        <v>794</v>
      </c>
      <c r="R192" s="44" t="s">
        <v>795</v>
      </c>
      <c r="S192" s="26" t="s">
        <v>179</v>
      </c>
      <c r="T192" s="26" t="s">
        <v>40</v>
      </c>
      <c r="U192" s="26" t="s">
        <v>715</v>
      </c>
      <c r="V192" s="26" t="s">
        <v>40</v>
      </c>
      <c r="W192" s="26" t="s">
        <v>80</v>
      </c>
      <c r="X192" s="49" t="s">
        <v>796</v>
      </c>
      <c r="Y192" s="26" t="s">
        <v>388</v>
      </c>
      <c r="Z192" s="26" t="s">
        <v>72</v>
      </c>
      <c r="AA192" s="24">
        <v>0</v>
      </c>
      <c r="AB192" s="24">
        <v>0</v>
      </c>
      <c r="AC192" s="32">
        <v>44717.22</v>
      </c>
      <c r="AD192" s="12">
        <v>0</v>
      </c>
      <c r="AE192" s="12">
        <v>0</v>
      </c>
      <c r="AF192" s="49"/>
    </row>
    <row r="193" spans="1:32" ht="22.5" customHeight="1" x14ac:dyDescent="0.25">
      <c r="A193" s="8">
        <v>192</v>
      </c>
      <c r="B193" s="34">
        <v>46024</v>
      </c>
      <c r="C193" s="27">
        <v>9.375E-2</v>
      </c>
      <c r="D193" s="26" t="s">
        <v>585</v>
      </c>
      <c r="E193" s="11" t="s">
        <v>73</v>
      </c>
      <c r="F193" s="26" t="s">
        <v>586</v>
      </c>
      <c r="G193" s="26" t="s">
        <v>587</v>
      </c>
      <c r="H193" s="26" t="s">
        <v>49</v>
      </c>
      <c r="I193" s="26" t="s">
        <v>472</v>
      </c>
      <c r="J193" s="26" t="s">
        <v>110</v>
      </c>
      <c r="K193" s="26" t="s">
        <v>65</v>
      </c>
      <c r="L193" s="26">
        <v>92</v>
      </c>
      <c r="M193" s="26" t="s">
        <v>642</v>
      </c>
      <c r="N193" s="26" t="s">
        <v>34</v>
      </c>
      <c r="O193" s="26">
        <v>295</v>
      </c>
      <c r="P193" s="26">
        <v>285</v>
      </c>
      <c r="Q193" s="49" t="s">
        <v>797</v>
      </c>
      <c r="R193" s="44" t="s">
        <v>798</v>
      </c>
      <c r="S193" s="26" t="s">
        <v>613</v>
      </c>
      <c r="T193" s="26" t="s">
        <v>40</v>
      </c>
      <c r="U193" s="26" t="s">
        <v>799</v>
      </c>
      <c r="V193" s="26" t="s">
        <v>80</v>
      </c>
      <c r="W193" s="26" t="s">
        <v>80</v>
      </c>
      <c r="X193" s="49" t="s">
        <v>800</v>
      </c>
      <c r="Y193" s="26" t="s">
        <v>801</v>
      </c>
      <c r="Z193" s="26" t="s">
        <v>72</v>
      </c>
      <c r="AA193" s="24">
        <v>0</v>
      </c>
      <c r="AB193" s="24">
        <v>0</v>
      </c>
      <c r="AC193" s="32">
        <v>44717.22</v>
      </c>
      <c r="AD193" s="12">
        <v>0</v>
      </c>
      <c r="AE193" s="12">
        <v>0</v>
      </c>
      <c r="AF193" s="49"/>
    </row>
    <row r="194" spans="1:32" ht="22.5" customHeight="1" x14ac:dyDescent="0.25">
      <c r="A194" s="8">
        <v>193</v>
      </c>
      <c r="B194" s="34">
        <v>46054</v>
      </c>
      <c r="C194" s="27">
        <v>0.69791666666666663</v>
      </c>
      <c r="D194" s="26" t="s">
        <v>310</v>
      </c>
      <c r="E194" s="11" t="s">
        <v>73</v>
      </c>
      <c r="F194" s="26" t="s">
        <v>311</v>
      </c>
      <c r="G194" s="26" t="s">
        <v>179</v>
      </c>
      <c r="H194" s="26" t="s">
        <v>29</v>
      </c>
      <c r="I194" s="26" t="s">
        <v>30</v>
      </c>
      <c r="J194" s="26" t="s">
        <v>110</v>
      </c>
      <c r="K194" s="26" t="s">
        <v>65</v>
      </c>
      <c r="L194" s="26">
        <v>98</v>
      </c>
      <c r="M194" s="26" t="s">
        <v>642</v>
      </c>
      <c r="N194" s="26" t="s">
        <v>34</v>
      </c>
      <c r="O194" s="26">
        <v>180</v>
      </c>
      <c r="P194" s="26">
        <v>200</v>
      </c>
      <c r="Q194" s="49" t="s">
        <v>802</v>
      </c>
      <c r="R194" s="44" t="s">
        <v>803</v>
      </c>
      <c r="S194" s="26" t="s">
        <v>179</v>
      </c>
      <c r="T194" s="26" t="s">
        <v>40</v>
      </c>
      <c r="U194" s="26" t="s">
        <v>715</v>
      </c>
      <c r="V194" s="26" t="s">
        <v>40</v>
      </c>
      <c r="W194" s="26" t="s">
        <v>40</v>
      </c>
      <c r="X194" s="49" t="s">
        <v>804</v>
      </c>
      <c r="Y194" s="26" t="s">
        <v>388</v>
      </c>
      <c r="Z194" s="26" t="s">
        <v>72</v>
      </c>
      <c r="AA194" s="24">
        <v>0</v>
      </c>
      <c r="AB194" s="24">
        <v>0</v>
      </c>
      <c r="AC194" s="32">
        <v>44717.22</v>
      </c>
      <c r="AD194" s="12">
        <v>0</v>
      </c>
      <c r="AE194" s="12">
        <v>0</v>
      </c>
      <c r="AF194" s="49"/>
    </row>
    <row r="195" spans="1:32" ht="22.5" customHeight="1" x14ac:dyDescent="0.25">
      <c r="A195" s="8">
        <v>194</v>
      </c>
      <c r="B195" s="34">
        <v>46024</v>
      </c>
      <c r="C195" s="27">
        <v>0.82777777777777772</v>
      </c>
      <c r="D195" s="26" t="s">
        <v>585</v>
      </c>
      <c r="E195" s="11" t="s">
        <v>73</v>
      </c>
      <c r="F195" s="26" t="s">
        <v>586</v>
      </c>
      <c r="G195" s="26" t="s">
        <v>587</v>
      </c>
      <c r="H195" s="26" t="s">
        <v>49</v>
      </c>
      <c r="I195" s="26" t="s">
        <v>472</v>
      </c>
      <c r="J195" s="26" t="s">
        <v>110</v>
      </c>
      <c r="K195" s="26" t="s">
        <v>65</v>
      </c>
      <c r="L195" s="26">
        <v>92</v>
      </c>
      <c r="M195" s="26" t="s">
        <v>642</v>
      </c>
      <c r="N195" s="26"/>
      <c r="O195" s="26"/>
      <c r="P195" s="26"/>
      <c r="Q195" s="49" t="s">
        <v>805</v>
      </c>
      <c r="R195" s="44" t="s">
        <v>1124</v>
      </c>
      <c r="S195" s="26" t="s">
        <v>613</v>
      </c>
      <c r="T195" s="26" t="s">
        <v>40</v>
      </c>
      <c r="U195" s="26" t="s">
        <v>806</v>
      </c>
      <c r="V195" s="26" t="s">
        <v>80</v>
      </c>
      <c r="W195" s="26" t="s">
        <v>80</v>
      </c>
      <c r="X195" s="49" t="s">
        <v>807</v>
      </c>
      <c r="Y195" s="26" t="s">
        <v>801</v>
      </c>
      <c r="Z195" s="26" t="s">
        <v>123</v>
      </c>
      <c r="AA195" s="36">
        <v>0</v>
      </c>
      <c r="AB195" s="37">
        <v>20.8</v>
      </c>
      <c r="AC195" s="32">
        <v>44717.22</v>
      </c>
      <c r="AD195" s="12">
        <v>0</v>
      </c>
      <c r="AE195" s="12">
        <v>0</v>
      </c>
      <c r="AF195" s="49"/>
    </row>
    <row r="196" spans="1:32" ht="22.5" customHeight="1" x14ac:dyDescent="0.25">
      <c r="A196" s="8">
        <v>195</v>
      </c>
      <c r="B196" s="34">
        <v>46024</v>
      </c>
      <c r="C196" s="27">
        <v>0.91319444444444442</v>
      </c>
      <c r="D196" s="26" t="s">
        <v>580</v>
      </c>
      <c r="E196" s="11" t="s">
        <v>73</v>
      </c>
      <c r="F196" s="26" t="s">
        <v>581</v>
      </c>
      <c r="G196" s="26" t="s">
        <v>587</v>
      </c>
      <c r="H196" s="26" t="s">
        <v>49</v>
      </c>
      <c r="I196" s="26" t="s">
        <v>472</v>
      </c>
      <c r="J196" s="26" t="s">
        <v>214</v>
      </c>
      <c r="K196" s="26" t="s">
        <v>214</v>
      </c>
      <c r="L196" s="26">
        <v>99</v>
      </c>
      <c r="M196" s="26" t="s">
        <v>808</v>
      </c>
      <c r="N196" s="26"/>
      <c r="O196" s="26"/>
      <c r="P196" s="26"/>
      <c r="Q196" s="49" t="s">
        <v>809</v>
      </c>
      <c r="R196" s="44" t="s">
        <v>810</v>
      </c>
      <c r="S196" s="26" t="s">
        <v>587</v>
      </c>
      <c r="T196" s="26" t="s">
        <v>40</v>
      </c>
      <c r="U196" s="26" t="s">
        <v>811</v>
      </c>
      <c r="V196" s="17" t="s">
        <v>40</v>
      </c>
      <c r="W196" s="17" t="s">
        <v>40</v>
      </c>
      <c r="X196" s="49" t="s">
        <v>777</v>
      </c>
      <c r="Y196" s="26" t="s">
        <v>648</v>
      </c>
      <c r="Z196" s="26" t="s">
        <v>123</v>
      </c>
      <c r="AA196" s="36">
        <v>0</v>
      </c>
      <c r="AB196" s="37">
        <v>0</v>
      </c>
      <c r="AC196" s="32">
        <v>44717.22</v>
      </c>
      <c r="AD196" s="12">
        <f>AA196/24*AC196</f>
        <v>0</v>
      </c>
      <c r="AE196" s="12">
        <f>AB196/24*AC196</f>
        <v>0</v>
      </c>
      <c r="AF196" s="49"/>
    </row>
    <row r="197" spans="1:32" ht="22.5" customHeight="1" x14ac:dyDescent="0.25">
      <c r="A197" s="8">
        <v>196</v>
      </c>
      <c r="B197" s="30">
        <v>46024</v>
      </c>
      <c r="C197" s="27">
        <v>0.9506944444444444</v>
      </c>
      <c r="D197" s="26" t="s">
        <v>580</v>
      </c>
      <c r="E197" s="11" t="s">
        <v>73</v>
      </c>
      <c r="F197" s="26" t="s">
        <v>581</v>
      </c>
      <c r="G197" s="26" t="s">
        <v>587</v>
      </c>
      <c r="H197" s="26" t="s">
        <v>49</v>
      </c>
      <c r="I197" s="26" t="s">
        <v>472</v>
      </c>
      <c r="J197" s="26" t="s">
        <v>214</v>
      </c>
      <c r="K197" s="26" t="s">
        <v>214</v>
      </c>
      <c r="L197" s="26">
        <v>99</v>
      </c>
      <c r="M197" s="26" t="s">
        <v>51</v>
      </c>
      <c r="N197" s="26"/>
      <c r="O197" s="26"/>
      <c r="P197" s="26"/>
      <c r="Q197" s="49" t="s">
        <v>812</v>
      </c>
      <c r="R197" s="44" t="s">
        <v>810</v>
      </c>
      <c r="S197" s="26" t="s">
        <v>587</v>
      </c>
      <c r="T197" s="26" t="s">
        <v>40</v>
      </c>
      <c r="U197" s="26" t="s">
        <v>811</v>
      </c>
      <c r="V197" s="17" t="s">
        <v>40</v>
      </c>
      <c r="W197" s="17" t="s">
        <v>40</v>
      </c>
      <c r="X197" s="49" t="s">
        <v>777</v>
      </c>
      <c r="Y197" s="26" t="s">
        <v>648</v>
      </c>
      <c r="Z197" s="26" t="s">
        <v>123</v>
      </c>
      <c r="AA197" s="36">
        <v>0</v>
      </c>
      <c r="AB197" s="37">
        <v>0</v>
      </c>
      <c r="AC197" s="32">
        <v>44717.22</v>
      </c>
      <c r="AD197" s="12">
        <f>AA197/24*AC197</f>
        <v>0</v>
      </c>
      <c r="AE197" s="12">
        <f>AB197/24*AC197</f>
        <v>0</v>
      </c>
      <c r="AF197" s="49"/>
    </row>
    <row r="198" spans="1:32" ht="22.5" customHeight="1" x14ac:dyDescent="0.25">
      <c r="A198" s="8">
        <v>197</v>
      </c>
      <c r="B198" s="34">
        <v>46024</v>
      </c>
      <c r="C198" s="27">
        <v>0.95208333333333328</v>
      </c>
      <c r="D198" s="26" t="s">
        <v>580</v>
      </c>
      <c r="E198" s="11" t="s">
        <v>73</v>
      </c>
      <c r="F198" s="26" t="s">
        <v>581</v>
      </c>
      <c r="G198" s="26" t="s">
        <v>587</v>
      </c>
      <c r="H198" s="26" t="s">
        <v>49</v>
      </c>
      <c r="I198" s="26" t="s">
        <v>472</v>
      </c>
      <c r="J198" s="26" t="s">
        <v>214</v>
      </c>
      <c r="K198" s="26" t="s">
        <v>193</v>
      </c>
      <c r="L198" s="26">
        <v>99</v>
      </c>
      <c r="M198" s="26" t="s">
        <v>758</v>
      </c>
      <c r="N198" s="26"/>
      <c r="O198" s="26"/>
      <c r="P198" s="26"/>
      <c r="Q198" s="49" t="s">
        <v>813</v>
      </c>
      <c r="R198" s="44" t="s">
        <v>760</v>
      </c>
      <c r="S198" s="26" t="s">
        <v>587</v>
      </c>
      <c r="T198" s="26" t="s">
        <v>40</v>
      </c>
      <c r="U198" s="26" t="s">
        <v>761</v>
      </c>
      <c r="V198" s="17" t="s">
        <v>40</v>
      </c>
      <c r="W198" s="17" t="s">
        <v>40</v>
      </c>
      <c r="X198" s="49" t="s">
        <v>777</v>
      </c>
      <c r="Y198" s="26" t="s">
        <v>648</v>
      </c>
      <c r="Z198" s="26" t="s">
        <v>123</v>
      </c>
      <c r="AA198" s="36">
        <v>0</v>
      </c>
      <c r="AB198" s="37">
        <v>0</v>
      </c>
      <c r="AC198" s="32">
        <v>44717.22</v>
      </c>
      <c r="AD198" s="12">
        <f>AA198/24*AC198</f>
        <v>0</v>
      </c>
      <c r="AE198" s="12">
        <f>AB198/24*AC198</f>
        <v>0</v>
      </c>
      <c r="AF198" s="49"/>
    </row>
    <row r="199" spans="1:32" ht="22.5" customHeight="1" x14ac:dyDescent="0.25">
      <c r="A199" s="8">
        <v>198</v>
      </c>
      <c r="B199" s="34">
        <v>46055</v>
      </c>
      <c r="C199" s="27">
        <v>3.4027777777777775E-2</v>
      </c>
      <c r="D199" s="26" t="s">
        <v>580</v>
      </c>
      <c r="E199" s="11" t="s">
        <v>73</v>
      </c>
      <c r="F199" s="26" t="s">
        <v>581</v>
      </c>
      <c r="G199" s="26" t="s">
        <v>587</v>
      </c>
      <c r="H199" s="26" t="s">
        <v>49</v>
      </c>
      <c r="I199" s="26" t="s">
        <v>472</v>
      </c>
      <c r="J199" s="26" t="s">
        <v>92</v>
      </c>
      <c r="K199" s="26" t="s">
        <v>65</v>
      </c>
      <c r="L199" s="26">
        <v>99</v>
      </c>
      <c r="M199" s="26" t="s">
        <v>430</v>
      </c>
      <c r="N199" s="26" t="s">
        <v>430</v>
      </c>
      <c r="O199" s="26">
        <v>19</v>
      </c>
      <c r="P199" s="26">
        <v>17</v>
      </c>
      <c r="Q199" s="49" t="s">
        <v>814</v>
      </c>
      <c r="R199" s="44" t="s">
        <v>815</v>
      </c>
      <c r="S199" s="26" t="s">
        <v>587</v>
      </c>
      <c r="T199" s="26" t="s">
        <v>40</v>
      </c>
      <c r="U199" s="26" t="s">
        <v>816</v>
      </c>
      <c r="V199" s="26" t="s">
        <v>40</v>
      </c>
      <c r="W199" s="26" t="s">
        <v>40</v>
      </c>
      <c r="X199" s="49" t="s">
        <v>817</v>
      </c>
      <c r="Y199" s="26" t="s">
        <v>648</v>
      </c>
      <c r="Z199" s="26" t="s">
        <v>123</v>
      </c>
      <c r="AA199" s="36">
        <v>0</v>
      </c>
      <c r="AB199" s="37">
        <v>0</v>
      </c>
      <c r="AC199" s="32">
        <v>44717.22</v>
      </c>
      <c r="AD199" s="12">
        <f>AA199/24*AC199</f>
        <v>0</v>
      </c>
      <c r="AE199" s="12">
        <f>AB199/24*AC199</f>
        <v>0</v>
      </c>
      <c r="AF199" s="49"/>
    </row>
    <row r="200" spans="1:32" ht="22.5" customHeight="1" x14ac:dyDescent="0.25">
      <c r="A200" s="8">
        <v>199</v>
      </c>
      <c r="B200" s="34">
        <v>46055</v>
      </c>
      <c r="C200" s="27">
        <v>0.11458333333333333</v>
      </c>
      <c r="D200" s="26" t="s">
        <v>747</v>
      </c>
      <c r="E200" s="11" t="s">
        <v>73</v>
      </c>
      <c r="F200" s="26" t="s">
        <v>748</v>
      </c>
      <c r="G200" s="26" t="s">
        <v>587</v>
      </c>
      <c r="H200" s="26" t="s">
        <v>49</v>
      </c>
      <c r="I200" s="26" t="s">
        <v>472</v>
      </c>
      <c r="J200" s="26" t="s">
        <v>31</v>
      </c>
      <c r="K200" s="26" t="s">
        <v>65</v>
      </c>
      <c r="L200" s="26">
        <v>95</v>
      </c>
      <c r="M200" s="26" t="s">
        <v>51</v>
      </c>
      <c r="N200" s="26" t="s">
        <v>165</v>
      </c>
      <c r="O200" s="26">
        <v>115</v>
      </c>
      <c r="P200" s="26">
        <v>60</v>
      </c>
      <c r="Q200" s="49" t="s">
        <v>818</v>
      </c>
      <c r="R200" s="44" t="s">
        <v>819</v>
      </c>
      <c r="S200" s="26" t="s">
        <v>613</v>
      </c>
      <c r="T200" s="26" t="s">
        <v>80</v>
      </c>
      <c r="U200" s="26" t="s">
        <v>820</v>
      </c>
      <c r="V200" s="26" t="s">
        <v>40</v>
      </c>
      <c r="W200" s="26" t="s">
        <v>80</v>
      </c>
      <c r="X200" s="49" t="s">
        <v>821</v>
      </c>
      <c r="Y200" s="26" t="s">
        <v>778</v>
      </c>
      <c r="Z200" s="26" t="s">
        <v>123</v>
      </c>
      <c r="AA200" s="36">
        <v>0</v>
      </c>
      <c r="AB200" s="37">
        <v>0</v>
      </c>
      <c r="AC200" s="32">
        <v>44717.22</v>
      </c>
      <c r="AD200" s="12">
        <v>0</v>
      </c>
      <c r="AE200" s="12">
        <v>0</v>
      </c>
      <c r="AF200" s="49"/>
    </row>
    <row r="201" spans="1:32" ht="22.5" customHeight="1" x14ac:dyDescent="0.25">
      <c r="A201" s="8">
        <v>200</v>
      </c>
      <c r="B201" s="34">
        <v>46055</v>
      </c>
      <c r="C201" s="27">
        <v>0.17847222222222223</v>
      </c>
      <c r="D201" s="26" t="s">
        <v>747</v>
      </c>
      <c r="E201" s="11" t="s">
        <v>73</v>
      </c>
      <c r="F201" s="26" t="s">
        <v>748</v>
      </c>
      <c r="G201" s="26" t="s">
        <v>587</v>
      </c>
      <c r="H201" s="26" t="s">
        <v>49</v>
      </c>
      <c r="I201" s="26" t="s">
        <v>472</v>
      </c>
      <c r="J201" s="26" t="s">
        <v>92</v>
      </c>
      <c r="K201" s="26" t="s">
        <v>65</v>
      </c>
      <c r="L201" s="26">
        <v>95</v>
      </c>
      <c r="M201" s="26" t="s">
        <v>51</v>
      </c>
      <c r="N201" s="26" t="s">
        <v>165</v>
      </c>
      <c r="O201" s="26">
        <v>115</v>
      </c>
      <c r="P201" s="26">
        <v>60</v>
      </c>
      <c r="Q201" s="49" t="s">
        <v>822</v>
      </c>
      <c r="R201" s="44" t="s">
        <v>823</v>
      </c>
      <c r="S201" s="26" t="s">
        <v>613</v>
      </c>
      <c r="T201" s="26" t="s">
        <v>80</v>
      </c>
      <c r="U201" s="26" t="s">
        <v>824</v>
      </c>
      <c r="V201" s="26" t="s">
        <v>80</v>
      </c>
      <c r="W201" s="26" t="s">
        <v>80</v>
      </c>
      <c r="X201" s="49" t="s">
        <v>777</v>
      </c>
      <c r="Y201" s="26" t="s">
        <v>648</v>
      </c>
      <c r="Z201" s="26" t="s">
        <v>123</v>
      </c>
      <c r="AA201" s="36">
        <v>0</v>
      </c>
      <c r="AB201" s="37">
        <v>0</v>
      </c>
      <c r="AC201" s="32">
        <v>44717.22</v>
      </c>
      <c r="AD201" s="12">
        <f>AA201/24*AC201</f>
        <v>0</v>
      </c>
      <c r="AE201" s="12">
        <f>AB201/24*AC201</f>
        <v>0</v>
      </c>
      <c r="AF201" s="49"/>
    </row>
    <row r="202" spans="1:32" ht="22.5" customHeight="1" x14ac:dyDescent="0.25">
      <c r="A202" s="8">
        <v>201</v>
      </c>
      <c r="B202" s="34">
        <v>46055</v>
      </c>
      <c r="C202" s="27">
        <v>0.69791666666666663</v>
      </c>
      <c r="D202" s="26" t="s">
        <v>310</v>
      </c>
      <c r="E202" s="11" t="s">
        <v>73</v>
      </c>
      <c r="F202" s="26" t="s">
        <v>311</v>
      </c>
      <c r="G202" s="26" t="s">
        <v>179</v>
      </c>
      <c r="H202" s="26" t="s">
        <v>29</v>
      </c>
      <c r="I202" s="26" t="s">
        <v>30</v>
      </c>
      <c r="J202" s="26" t="s">
        <v>110</v>
      </c>
      <c r="K202" s="26" t="s">
        <v>65</v>
      </c>
      <c r="L202" s="26">
        <v>98</v>
      </c>
      <c r="M202" s="26" t="s">
        <v>642</v>
      </c>
      <c r="N202" s="26" t="s">
        <v>34</v>
      </c>
      <c r="O202" s="26">
        <v>185</v>
      </c>
      <c r="P202" s="26">
        <v>185</v>
      </c>
      <c r="Q202" s="49" t="s">
        <v>825</v>
      </c>
      <c r="R202" s="44" t="s">
        <v>826</v>
      </c>
      <c r="S202" s="26" t="s">
        <v>179</v>
      </c>
      <c r="T202" s="26" t="s">
        <v>40</v>
      </c>
      <c r="U202" s="26" t="s">
        <v>247</v>
      </c>
      <c r="V202" s="26" t="s">
        <v>247</v>
      </c>
      <c r="W202" s="26" t="s">
        <v>247</v>
      </c>
      <c r="X202" s="49" t="s">
        <v>247</v>
      </c>
      <c r="Y202" s="26" t="s">
        <v>388</v>
      </c>
      <c r="Z202" s="26" t="s">
        <v>72</v>
      </c>
      <c r="AA202" s="36">
        <v>0</v>
      </c>
      <c r="AB202" s="37">
        <v>0</v>
      </c>
      <c r="AC202" s="32">
        <v>44717.22</v>
      </c>
      <c r="AD202" s="12">
        <v>0</v>
      </c>
      <c r="AE202" s="12">
        <v>0</v>
      </c>
      <c r="AF202" s="49"/>
    </row>
    <row r="203" spans="1:32" ht="22.5" customHeight="1" x14ac:dyDescent="0.25">
      <c r="A203" s="8">
        <v>202</v>
      </c>
      <c r="B203" s="34">
        <v>46055</v>
      </c>
      <c r="C203" s="27">
        <v>0.54166666666666663</v>
      </c>
      <c r="D203" s="26" t="s">
        <v>585</v>
      </c>
      <c r="E203" s="11" t="s">
        <v>73</v>
      </c>
      <c r="F203" s="26" t="s">
        <v>586</v>
      </c>
      <c r="G203" s="26" t="s">
        <v>587</v>
      </c>
      <c r="H203" s="26" t="s">
        <v>49</v>
      </c>
      <c r="I203" s="26" t="s">
        <v>472</v>
      </c>
      <c r="J203" s="26" t="s">
        <v>214</v>
      </c>
      <c r="K203" s="26" t="s">
        <v>214</v>
      </c>
      <c r="L203" s="26">
        <v>92</v>
      </c>
      <c r="M203" s="26" t="s">
        <v>741</v>
      </c>
      <c r="N203" s="26"/>
      <c r="O203" s="26">
        <v>19</v>
      </c>
      <c r="P203" s="26">
        <v>22</v>
      </c>
      <c r="Q203" s="49" t="s">
        <v>827</v>
      </c>
      <c r="R203" s="44" t="s">
        <v>828</v>
      </c>
      <c r="S203" s="26" t="s">
        <v>613</v>
      </c>
      <c r="T203" s="26" t="s">
        <v>40</v>
      </c>
      <c r="U203" s="26" t="s">
        <v>247</v>
      </c>
      <c r="V203" s="17" t="s">
        <v>40</v>
      </c>
      <c r="W203" s="17" t="s">
        <v>40</v>
      </c>
      <c r="X203" s="49"/>
      <c r="Y203" s="26" t="s">
        <v>632</v>
      </c>
      <c r="Z203" s="26" t="s">
        <v>72</v>
      </c>
      <c r="AA203" s="36">
        <v>0</v>
      </c>
      <c r="AB203" s="37">
        <v>0</v>
      </c>
      <c r="AC203" s="32">
        <v>44717.22</v>
      </c>
      <c r="AD203" s="12">
        <f>AA203/24*AC203</f>
        <v>0</v>
      </c>
      <c r="AE203" s="12">
        <f>AB203/24*AC203</f>
        <v>0</v>
      </c>
      <c r="AF203" s="49"/>
    </row>
    <row r="204" spans="1:32" ht="22.5" customHeight="1" x14ac:dyDescent="0.25">
      <c r="A204" s="8">
        <v>203</v>
      </c>
      <c r="B204" s="34">
        <v>46055</v>
      </c>
      <c r="C204" s="27">
        <v>0.95486111111111116</v>
      </c>
      <c r="D204" s="26" t="s">
        <v>310</v>
      </c>
      <c r="E204" s="11" t="s">
        <v>73</v>
      </c>
      <c r="F204" s="26" t="s">
        <v>311</v>
      </c>
      <c r="G204" s="26" t="s">
        <v>179</v>
      </c>
      <c r="H204" s="26" t="s">
        <v>29</v>
      </c>
      <c r="I204" s="26" t="s">
        <v>30</v>
      </c>
      <c r="J204" s="26" t="s">
        <v>110</v>
      </c>
      <c r="K204" s="26" t="s">
        <v>32</v>
      </c>
      <c r="L204" s="26">
        <v>98</v>
      </c>
      <c r="M204" s="26" t="s">
        <v>51</v>
      </c>
      <c r="N204" s="26" t="s">
        <v>34</v>
      </c>
      <c r="O204" s="26">
        <v>220</v>
      </c>
      <c r="P204" s="26">
        <v>237</v>
      </c>
      <c r="Q204" s="49" t="s">
        <v>829</v>
      </c>
      <c r="R204" s="44" t="s">
        <v>830</v>
      </c>
      <c r="S204" s="26" t="s">
        <v>179</v>
      </c>
      <c r="T204" s="26" t="s">
        <v>40</v>
      </c>
      <c r="U204" s="26" t="s">
        <v>831</v>
      </c>
      <c r="V204" s="26" t="s">
        <v>40</v>
      </c>
      <c r="W204" s="26" t="s">
        <v>40</v>
      </c>
      <c r="X204" s="49" t="s">
        <v>832</v>
      </c>
      <c r="Y204" s="26" t="s">
        <v>309</v>
      </c>
      <c r="Z204" s="26" t="s">
        <v>123</v>
      </c>
      <c r="AA204" s="36">
        <v>0</v>
      </c>
      <c r="AB204" s="37">
        <v>28.8</v>
      </c>
      <c r="AC204" s="32">
        <v>44717.22</v>
      </c>
      <c r="AD204" s="12">
        <v>0</v>
      </c>
      <c r="AE204" s="12">
        <v>0</v>
      </c>
      <c r="AF204" s="49"/>
    </row>
    <row r="205" spans="1:32" ht="22.5" customHeight="1" x14ac:dyDescent="0.25">
      <c r="A205" s="8">
        <v>204</v>
      </c>
      <c r="B205" s="34">
        <v>46083</v>
      </c>
      <c r="C205" s="27">
        <v>6.6666666666666666E-2</v>
      </c>
      <c r="D205" s="26" t="s">
        <v>580</v>
      </c>
      <c r="E205" s="11" t="s">
        <v>73</v>
      </c>
      <c r="F205" s="26" t="s">
        <v>581</v>
      </c>
      <c r="G205" s="26" t="s">
        <v>587</v>
      </c>
      <c r="H205" s="26" t="s">
        <v>49</v>
      </c>
      <c r="I205" s="26" t="s">
        <v>472</v>
      </c>
      <c r="J205" s="26" t="s">
        <v>214</v>
      </c>
      <c r="K205" s="26" t="s">
        <v>833</v>
      </c>
      <c r="L205" s="26">
        <v>100</v>
      </c>
      <c r="M205" s="26" t="s">
        <v>430</v>
      </c>
      <c r="N205" s="26" t="s">
        <v>94</v>
      </c>
      <c r="O205" s="26">
        <v>19</v>
      </c>
      <c r="P205" s="26">
        <v>19</v>
      </c>
      <c r="Q205" s="49" t="s">
        <v>834</v>
      </c>
      <c r="R205" s="44" t="s">
        <v>835</v>
      </c>
      <c r="S205" s="26" t="s">
        <v>613</v>
      </c>
      <c r="T205" s="26" t="s">
        <v>40</v>
      </c>
      <c r="U205" s="26" t="s">
        <v>836</v>
      </c>
      <c r="V205" s="17" t="s">
        <v>40</v>
      </c>
      <c r="W205" s="17" t="s">
        <v>40</v>
      </c>
      <c r="X205" s="49" t="s">
        <v>836</v>
      </c>
      <c r="Y205" s="26" t="s">
        <v>648</v>
      </c>
      <c r="Z205" s="26" t="s">
        <v>123</v>
      </c>
      <c r="AA205" s="36">
        <v>0</v>
      </c>
      <c r="AB205" s="37">
        <v>0</v>
      </c>
      <c r="AC205" s="32">
        <v>44717.22</v>
      </c>
      <c r="AD205" s="12">
        <f>AA205/24*AC205</f>
        <v>0</v>
      </c>
      <c r="AE205" s="12">
        <f>AB205/24*AC205</f>
        <v>0</v>
      </c>
      <c r="AF205" s="49"/>
    </row>
    <row r="206" spans="1:32" ht="22.5" customHeight="1" x14ac:dyDescent="0.25">
      <c r="A206" s="8">
        <v>205</v>
      </c>
      <c r="B206" s="34">
        <v>46056</v>
      </c>
      <c r="C206" s="27">
        <v>0.66666666666666663</v>
      </c>
      <c r="D206" s="26" t="s">
        <v>310</v>
      </c>
      <c r="E206" s="11" t="s">
        <v>73</v>
      </c>
      <c r="F206" s="26" t="s">
        <v>311</v>
      </c>
      <c r="G206" s="26" t="s">
        <v>179</v>
      </c>
      <c r="H206" s="26" t="s">
        <v>29</v>
      </c>
      <c r="I206" s="26" t="s">
        <v>30</v>
      </c>
      <c r="J206" s="26" t="s">
        <v>110</v>
      </c>
      <c r="K206" s="26" t="s">
        <v>65</v>
      </c>
      <c r="L206" s="26">
        <v>98</v>
      </c>
      <c r="M206" s="26" t="s">
        <v>318</v>
      </c>
      <c r="N206" s="26" t="s">
        <v>34</v>
      </c>
      <c r="O206" s="26">
        <v>230</v>
      </c>
      <c r="P206" s="26">
        <v>235</v>
      </c>
      <c r="Q206" s="49" t="s">
        <v>837</v>
      </c>
      <c r="R206" s="44" t="s">
        <v>838</v>
      </c>
      <c r="S206" s="26" t="s">
        <v>179</v>
      </c>
      <c r="T206" s="26" t="s">
        <v>40</v>
      </c>
      <c r="U206" s="26" t="s">
        <v>715</v>
      </c>
      <c r="V206" s="26" t="s">
        <v>40</v>
      </c>
      <c r="W206" s="26" t="s">
        <v>40</v>
      </c>
      <c r="X206" s="49" t="s">
        <v>839</v>
      </c>
      <c r="Y206" s="26" t="s">
        <v>388</v>
      </c>
      <c r="Z206" s="26" t="s">
        <v>72</v>
      </c>
      <c r="AA206" s="36">
        <v>0</v>
      </c>
      <c r="AB206" s="37">
        <v>0</v>
      </c>
      <c r="AC206" s="32">
        <v>44717.22</v>
      </c>
      <c r="AD206" s="12">
        <v>0</v>
      </c>
      <c r="AE206" s="12">
        <v>0</v>
      </c>
      <c r="AF206" s="49"/>
    </row>
    <row r="207" spans="1:32" ht="22.5" customHeight="1" x14ac:dyDescent="0.25">
      <c r="A207" s="8">
        <v>206</v>
      </c>
      <c r="B207" s="34">
        <v>46056</v>
      </c>
      <c r="C207" s="27">
        <v>0.66666666666666663</v>
      </c>
      <c r="D207" s="26" t="s">
        <v>310</v>
      </c>
      <c r="E207" s="11" t="s">
        <v>73</v>
      </c>
      <c r="F207" s="26" t="s">
        <v>311</v>
      </c>
      <c r="G207" s="26" t="s">
        <v>179</v>
      </c>
      <c r="H207" s="26" t="s">
        <v>29</v>
      </c>
      <c r="I207" s="26" t="s">
        <v>30</v>
      </c>
      <c r="J207" s="26" t="s">
        <v>110</v>
      </c>
      <c r="K207" s="26" t="s">
        <v>65</v>
      </c>
      <c r="L207" s="26">
        <v>98</v>
      </c>
      <c r="M207" s="26" t="s">
        <v>318</v>
      </c>
      <c r="N207" s="26" t="s">
        <v>840</v>
      </c>
      <c r="O207" s="26"/>
      <c r="P207" s="26"/>
      <c r="Q207" s="49" t="s">
        <v>841</v>
      </c>
      <c r="R207" s="44" t="s">
        <v>842</v>
      </c>
      <c r="S207" s="26" t="s">
        <v>179</v>
      </c>
      <c r="T207" s="26" t="s">
        <v>40</v>
      </c>
      <c r="U207" s="26" t="s">
        <v>715</v>
      </c>
      <c r="V207" s="26" t="s">
        <v>40</v>
      </c>
      <c r="W207" s="26" t="s">
        <v>40</v>
      </c>
      <c r="X207" s="49" t="s">
        <v>839</v>
      </c>
      <c r="Y207" s="26" t="s">
        <v>388</v>
      </c>
      <c r="Z207" s="26" t="s">
        <v>72</v>
      </c>
      <c r="AA207" s="36">
        <v>0</v>
      </c>
      <c r="AB207" s="37">
        <v>0</v>
      </c>
      <c r="AC207" s="32">
        <v>44717.22</v>
      </c>
      <c r="AD207" s="12">
        <v>0</v>
      </c>
      <c r="AE207" s="12">
        <v>0</v>
      </c>
      <c r="AF207" s="49"/>
    </row>
    <row r="208" spans="1:32" ht="22.5" customHeight="1" x14ac:dyDescent="0.25">
      <c r="A208" s="8">
        <v>207</v>
      </c>
      <c r="B208" s="34">
        <v>46083</v>
      </c>
      <c r="C208" s="27">
        <v>0.6875</v>
      </c>
      <c r="D208" s="26" t="s">
        <v>585</v>
      </c>
      <c r="E208" s="11" t="s">
        <v>73</v>
      </c>
      <c r="F208" s="26" t="s">
        <v>586</v>
      </c>
      <c r="G208" s="26" t="s">
        <v>587</v>
      </c>
      <c r="H208" s="26" t="s">
        <v>49</v>
      </c>
      <c r="I208" s="26" t="s">
        <v>472</v>
      </c>
      <c r="J208" s="26" t="s">
        <v>110</v>
      </c>
      <c r="K208" s="26" t="s">
        <v>32</v>
      </c>
      <c r="L208" s="26">
        <v>98</v>
      </c>
      <c r="M208" s="26" t="s">
        <v>642</v>
      </c>
      <c r="N208" s="26" t="s">
        <v>34</v>
      </c>
      <c r="O208" s="26">
        <v>295</v>
      </c>
      <c r="P208" s="26">
        <v>287</v>
      </c>
      <c r="Q208" s="49" t="s">
        <v>843</v>
      </c>
      <c r="R208" s="44" t="s">
        <v>844</v>
      </c>
      <c r="S208" s="26" t="s">
        <v>613</v>
      </c>
      <c r="T208" s="26" t="s">
        <v>40</v>
      </c>
      <c r="U208" s="26" t="s">
        <v>791</v>
      </c>
      <c r="V208" s="26" t="s">
        <v>40</v>
      </c>
      <c r="W208" s="26" t="s">
        <v>40</v>
      </c>
      <c r="X208" s="49" t="s">
        <v>845</v>
      </c>
      <c r="Y208" s="26" t="s">
        <v>801</v>
      </c>
      <c r="Z208" s="26" t="s">
        <v>72</v>
      </c>
      <c r="AA208" s="36">
        <v>0</v>
      </c>
      <c r="AB208" s="37">
        <v>0</v>
      </c>
      <c r="AC208" s="32">
        <v>44717.22</v>
      </c>
      <c r="AD208" s="12">
        <v>0</v>
      </c>
      <c r="AE208" s="12">
        <v>0</v>
      </c>
      <c r="AF208" s="49"/>
    </row>
    <row r="209" spans="1:32" ht="22.5" customHeight="1" x14ac:dyDescent="0.25">
      <c r="A209" s="8">
        <v>208</v>
      </c>
      <c r="B209" s="34">
        <v>46056</v>
      </c>
      <c r="C209" s="27">
        <v>0.75347222222222221</v>
      </c>
      <c r="D209" s="26" t="s">
        <v>310</v>
      </c>
      <c r="E209" s="11" t="s">
        <v>73</v>
      </c>
      <c r="F209" s="26" t="s">
        <v>311</v>
      </c>
      <c r="G209" s="26" t="s">
        <v>179</v>
      </c>
      <c r="H209" s="26" t="s">
        <v>29</v>
      </c>
      <c r="I209" s="26" t="s">
        <v>30</v>
      </c>
      <c r="J209" s="26" t="s">
        <v>110</v>
      </c>
      <c r="K209" s="26" t="s">
        <v>32</v>
      </c>
      <c r="L209" s="26">
        <v>98</v>
      </c>
      <c r="M209" s="26" t="s">
        <v>51</v>
      </c>
      <c r="N209" s="26" t="s">
        <v>34</v>
      </c>
      <c r="O209" s="26">
        <v>220</v>
      </c>
      <c r="P209" s="26">
        <v>237</v>
      </c>
      <c r="Q209" s="49" t="s">
        <v>846</v>
      </c>
      <c r="R209" s="44" t="s">
        <v>830</v>
      </c>
      <c r="S209" s="26" t="s">
        <v>179</v>
      </c>
      <c r="T209" s="26" t="s">
        <v>40</v>
      </c>
      <c r="U209" s="26" t="s">
        <v>831</v>
      </c>
      <c r="V209" s="26" t="s">
        <v>40</v>
      </c>
      <c r="W209" s="26" t="s">
        <v>40</v>
      </c>
      <c r="X209" s="49" t="s">
        <v>847</v>
      </c>
      <c r="Y209" s="26" t="s">
        <v>309</v>
      </c>
      <c r="Z209" s="26" t="s">
        <v>123</v>
      </c>
      <c r="AA209" s="36">
        <v>0</v>
      </c>
      <c r="AB209" s="37">
        <v>0</v>
      </c>
      <c r="AC209" s="32">
        <v>44717.22</v>
      </c>
      <c r="AD209" s="12">
        <v>0</v>
      </c>
      <c r="AE209" s="12">
        <v>0</v>
      </c>
      <c r="AF209" s="49"/>
    </row>
    <row r="210" spans="1:32" ht="22.5" customHeight="1" x14ac:dyDescent="0.25">
      <c r="A210" s="8">
        <v>209</v>
      </c>
      <c r="B210" s="34">
        <v>46057</v>
      </c>
      <c r="C210" s="27">
        <v>0.11805555555555555</v>
      </c>
      <c r="D210" s="26" t="s">
        <v>747</v>
      </c>
      <c r="E210" s="11" t="s">
        <v>73</v>
      </c>
      <c r="F210" s="26" t="s">
        <v>748</v>
      </c>
      <c r="G210" s="26" t="s">
        <v>587</v>
      </c>
      <c r="H210" s="26" t="s">
        <v>49</v>
      </c>
      <c r="I210" s="26" t="s">
        <v>472</v>
      </c>
      <c r="J210" s="26" t="s">
        <v>31</v>
      </c>
      <c r="K210" s="26" t="s">
        <v>65</v>
      </c>
      <c r="L210" s="26">
        <v>101</v>
      </c>
      <c r="M210" s="26" t="s">
        <v>51</v>
      </c>
      <c r="N210" s="26" t="s">
        <v>223</v>
      </c>
      <c r="O210" s="26">
        <v>2700</v>
      </c>
      <c r="P210" s="26">
        <v>2400</v>
      </c>
      <c r="Q210" s="49" t="s">
        <v>848</v>
      </c>
      <c r="R210" s="44" t="s">
        <v>849</v>
      </c>
      <c r="S210" s="26" t="s">
        <v>613</v>
      </c>
      <c r="T210" s="26" t="s">
        <v>80</v>
      </c>
      <c r="U210" s="26" t="s">
        <v>850</v>
      </c>
      <c r="V210" s="26" t="s">
        <v>80</v>
      </c>
      <c r="W210" s="26" t="s">
        <v>80</v>
      </c>
      <c r="X210" s="49" t="s">
        <v>851</v>
      </c>
      <c r="Y210" s="26" t="s">
        <v>648</v>
      </c>
      <c r="Z210" s="26" t="s">
        <v>123</v>
      </c>
      <c r="AA210" s="36">
        <v>0</v>
      </c>
      <c r="AB210" s="37">
        <v>0</v>
      </c>
      <c r="AC210" s="32">
        <v>44717.22</v>
      </c>
      <c r="AD210" s="12">
        <v>0</v>
      </c>
      <c r="AE210" s="12">
        <v>0</v>
      </c>
      <c r="AF210" s="49"/>
    </row>
    <row r="211" spans="1:32" ht="22.5" customHeight="1" x14ac:dyDescent="0.25">
      <c r="A211" s="8">
        <v>210</v>
      </c>
      <c r="B211" s="34">
        <v>46057</v>
      </c>
      <c r="C211" s="27">
        <v>0.38541666666666669</v>
      </c>
      <c r="D211" s="26" t="s">
        <v>747</v>
      </c>
      <c r="E211" s="11" t="s">
        <v>73</v>
      </c>
      <c r="F211" s="26" t="s">
        <v>748</v>
      </c>
      <c r="G211" s="26" t="s">
        <v>587</v>
      </c>
      <c r="H211" s="26" t="s">
        <v>49</v>
      </c>
      <c r="I211" s="26" t="s">
        <v>472</v>
      </c>
      <c r="J211" s="26" t="s">
        <v>92</v>
      </c>
      <c r="K211" s="26" t="s">
        <v>65</v>
      </c>
      <c r="L211" s="26">
        <v>101</v>
      </c>
      <c r="M211" s="26" t="s">
        <v>318</v>
      </c>
      <c r="N211" s="26" t="s">
        <v>75</v>
      </c>
      <c r="O211" s="26">
        <v>20</v>
      </c>
      <c r="P211" s="26">
        <v>15</v>
      </c>
      <c r="Q211" s="49" t="s">
        <v>852</v>
      </c>
      <c r="R211" s="44" t="s">
        <v>853</v>
      </c>
      <c r="S211" s="26" t="s">
        <v>613</v>
      </c>
      <c r="T211" s="26" t="s">
        <v>40</v>
      </c>
      <c r="U211" s="26" t="s">
        <v>854</v>
      </c>
      <c r="V211" s="26" t="s">
        <v>40</v>
      </c>
      <c r="W211" s="26" t="s">
        <v>40</v>
      </c>
      <c r="X211" s="49" t="s">
        <v>855</v>
      </c>
      <c r="Y211" s="26" t="s">
        <v>641</v>
      </c>
      <c r="Z211" s="26" t="s">
        <v>72</v>
      </c>
      <c r="AA211" s="36">
        <v>0</v>
      </c>
      <c r="AB211" s="37">
        <v>0</v>
      </c>
      <c r="AC211" s="32">
        <v>44717.22</v>
      </c>
      <c r="AD211" s="12">
        <f>AA211/24*AC211</f>
        <v>0</v>
      </c>
      <c r="AE211" s="12">
        <f>AB211/24*AC211</f>
        <v>0</v>
      </c>
      <c r="AF211" s="49"/>
    </row>
    <row r="212" spans="1:32" ht="22.5" customHeight="1" x14ac:dyDescent="0.25">
      <c r="A212" s="8">
        <v>211</v>
      </c>
      <c r="B212" s="34">
        <v>46057</v>
      </c>
      <c r="C212" s="27">
        <v>0.39583333333333331</v>
      </c>
      <c r="D212" s="26" t="s">
        <v>310</v>
      </c>
      <c r="E212" s="11" t="s">
        <v>73</v>
      </c>
      <c r="F212" s="26" t="s">
        <v>311</v>
      </c>
      <c r="G212" s="26" t="s">
        <v>179</v>
      </c>
      <c r="H212" s="26" t="s">
        <v>29</v>
      </c>
      <c r="I212" s="26" t="s">
        <v>30</v>
      </c>
      <c r="J212" s="26" t="s">
        <v>110</v>
      </c>
      <c r="K212" s="26" t="s">
        <v>32</v>
      </c>
      <c r="L212" s="26">
        <v>98</v>
      </c>
      <c r="M212" s="26" t="s">
        <v>51</v>
      </c>
      <c r="N212" s="26" t="s">
        <v>34</v>
      </c>
      <c r="O212" s="26">
        <v>200</v>
      </c>
      <c r="P212" s="26">
        <v>220</v>
      </c>
      <c r="Q212" s="49" t="s">
        <v>856</v>
      </c>
      <c r="R212" s="44" t="s">
        <v>857</v>
      </c>
      <c r="S212" s="26" t="s">
        <v>179</v>
      </c>
      <c r="T212" s="26" t="s">
        <v>40</v>
      </c>
      <c r="U212" s="26" t="s">
        <v>715</v>
      </c>
      <c r="V212" s="26" t="s">
        <v>40</v>
      </c>
      <c r="W212" s="26" t="s">
        <v>40</v>
      </c>
      <c r="X212" s="49" t="s">
        <v>839</v>
      </c>
      <c r="Y212" s="26" t="s">
        <v>388</v>
      </c>
      <c r="Z212" s="26" t="s">
        <v>72</v>
      </c>
      <c r="AA212" s="36">
        <v>0</v>
      </c>
      <c r="AB212" s="37">
        <v>0</v>
      </c>
      <c r="AC212" s="32">
        <v>44717.22</v>
      </c>
      <c r="AD212" s="12">
        <v>0</v>
      </c>
      <c r="AE212" s="12">
        <v>0</v>
      </c>
      <c r="AF212" s="49"/>
    </row>
    <row r="213" spans="1:32" ht="22.5" customHeight="1" x14ac:dyDescent="0.25">
      <c r="A213" s="8">
        <v>212</v>
      </c>
      <c r="B213" s="34">
        <v>46057</v>
      </c>
      <c r="C213" s="27">
        <v>0.97777777777777775</v>
      </c>
      <c r="D213" s="26" t="s">
        <v>580</v>
      </c>
      <c r="E213" s="11" t="s">
        <v>73</v>
      </c>
      <c r="F213" s="26" t="s">
        <v>581</v>
      </c>
      <c r="G213" s="26" t="s">
        <v>587</v>
      </c>
      <c r="H213" s="26" t="s">
        <v>49</v>
      </c>
      <c r="I213" s="26" t="s">
        <v>472</v>
      </c>
      <c r="J213" s="26" t="s">
        <v>214</v>
      </c>
      <c r="K213" s="26" t="s">
        <v>193</v>
      </c>
      <c r="L213" s="26">
        <v>102</v>
      </c>
      <c r="M213" s="26" t="s">
        <v>858</v>
      </c>
      <c r="N213" s="26"/>
      <c r="O213" s="26"/>
      <c r="P213" s="26"/>
      <c r="Q213" s="49" t="s">
        <v>859</v>
      </c>
      <c r="R213" s="44" t="s">
        <v>860</v>
      </c>
      <c r="S213" s="26" t="s">
        <v>587</v>
      </c>
      <c r="T213" s="26" t="s">
        <v>40</v>
      </c>
      <c r="U213" s="26" t="s">
        <v>861</v>
      </c>
      <c r="V213" s="17" t="s">
        <v>40</v>
      </c>
      <c r="W213" s="17" t="s">
        <v>40</v>
      </c>
      <c r="X213" s="49" t="s">
        <v>862</v>
      </c>
      <c r="Y213" s="26" t="s">
        <v>648</v>
      </c>
      <c r="Z213" s="26" t="s">
        <v>123</v>
      </c>
      <c r="AA213" s="36">
        <v>0</v>
      </c>
      <c r="AB213" s="37">
        <v>0</v>
      </c>
      <c r="AC213" s="32">
        <v>44717.22</v>
      </c>
      <c r="AD213" s="12">
        <f>AA213/24*AC213</f>
        <v>0</v>
      </c>
      <c r="AE213" s="12">
        <f>AB213/24*AC213</f>
        <v>0</v>
      </c>
      <c r="AF213" s="49"/>
    </row>
    <row r="214" spans="1:32" ht="22.5" customHeight="1" x14ac:dyDescent="0.25">
      <c r="A214" s="8">
        <v>213</v>
      </c>
      <c r="B214" s="34">
        <v>46144</v>
      </c>
      <c r="C214" s="27">
        <v>4.8611111111111112E-2</v>
      </c>
      <c r="D214" s="26" t="s">
        <v>580</v>
      </c>
      <c r="E214" s="11" t="s">
        <v>73</v>
      </c>
      <c r="F214" s="26" t="s">
        <v>581</v>
      </c>
      <c r="G214" s="26" t="s">
        <v>587</v>
      </c>
      <c r="H214" s="26" t="s">
        <v>49</v>
      </c>
      <c r="I214" s="26" t="s">
        <v>472</v>
      </c>
      <c r="J214" s="26" t="s">
        <v>214</v>
      </c>
      <c r="K214" s="26" t="s">
        <v>214</v>
      </c>
      <c r="L214" s="26">
        <v>103</v>
      </c>
      <c r="M214" s="26" t="s">
        <v>863</v>
      </c>
      <c r="N214" s="26"/>
      <c r="O214" s="26"/>
      <c r="P214" s="26"/>
      <c r="Q214" s="49" t="s">
        <v>864</v>
      </c>
      <c r="R214" s="44" t="s">
        <v>865</v>
      </c>
      <c r="S214" s="26" t="s">
        <v>603</v>
      </c>
      <c r="T214" s="26" t="s">
        <v>462</v>
      </c>
      <c r="U214" s="26" t="s">
        <v>836</v>
      </c>
      <c r="V214" s="17" t="s">
        <v>40</v>
      </c>
      <c r="W214" s="17" t="s">
        <v>40</v>
      </c>
      <c r="X214" s="49" t="s">
        <v>836</v>
      </c>
      <c r="Y214" s="26" t="s">
        <v>866</v>
      </c>
      <c r="Z214" s="26" t="s">
        <v>123</v>
      </c>
      <c r="AA214" s="36">
        <v>0</v>
      </c>
      <c r="AB214" s="37">
        <v>0</v>
      </c>
      <c r="AC214" s="32">
        <v>44717.22</v>
      </c>
      <c r="AD214" s="12">
        <f>AA214/24*AC214</f>
        <v>0</v>
      </c>
      <c r="AE214" s="12">
        <f>AB214/24*AC214</f>
        <v>0</v>
      </c>
      <c r="AF214" s="49"/>
    </row>
    <row r="215" spans="1:32" ht="22.5" customHeight="1" x14ac:dyDescent="0.25">
      <c r="A215" s="8">
        <v>214</v>
      </c>
      <c r="B215" s="34">
        <v>46058</v>
      </c>
      <c r="C215" s="27">
        <v>0.13194444444444445</v>
      </c>
      <c r="D215" s="26" t="s">
        <v>310</v>
      </c>
      <c r="E215" s="11" t="s">
        <v>73</v>
      </c>
      <c r="F215" s="26" t="s">
        <v>311</v>
      </c>
      <c r="G215" s="26" t="s">
        <v>179</v>
      </c>
      <c r="H215" s="26" t="s">
        <v>29</v>
      </c>
      <c r="I215" s="26" t="s">
        <v>30</v>
      </c>
      <c r="J215" s="26" t="s">
        <v>110</v>
      </c>
      <c r="K215" s="26" t="s">
        <v>65</v>
      </c>
      <c r="L215" s="26">
        <v>98</v>
      </c>
      <c r="M215" s="26" t="s">
        <v>51</v>
      </c>
      <c r="N215" s="26" t="s">
        <v>867</v>
      </c>
      <c r="O215" s="26">
        <v>285</v>
      </c>
      <c r="P215" s="26">
        <v>0</v>
      </c>
      <c r="Q215" s="49" t="s">
        <v>868</v>
      </c>
      <c r="R215" s="44" t="s">
        <v>869</v>
      </c>
      <c r="S215" s="26" t="s">
        <v>179</v>
      </c>
      <c r="T215" s="26" t="s">
        <v>40</v>
      </c>
      <c r="U215" s="26" t="s">
        <v>870</v>
      </c>
      <c r="V215" s="26" t="s">
        <v>40</v>
      </c>
      <c r="W215" s="26" t="s">
        <v>40</v>
      </c>
      <c r="X215" s="49" t="s">
        <v>871</v>
      </c>
      <c r="Y215" s="26" t="s">
        <v>309</v>
      </c>
      <c r="Z215" s="26" t="s">
        <v>123</v>
      </c>
      <c r="AA215" s="36">
        <v>0</v>
      </c>
      <c r="AB215" s="37">
        <v>0</v>
      </c>
      <c r="AC215" s="32">
        <v>44717.22</v>
      </c>
      <c r="AD215" s="12">
        <v>0</v>
      </c>
      <c r="AE215" s="12">
        <v>0</v>
      </c>
      <c r="AF215" s="49"/>
    </row>
    <row r="216" spans="1:32" ht="22.5" customHeight="1" x14ac:dyDescent="0.25">
      <c r="A216" s="8">
        <v>215</v>
      </c>
      <c r="B216" s="34">
        <v>46058</v>
      </c>
      <c r="C216" s="27">
        <v>0.26041666666666669</v>
      </c>
      <c r="D216" s="26" t="s">
        <v>310</v>
      </c>
      <c r="E216" s="11" t="s">
        <v>73</v>
      </c>
      <c r="F216" s="26" t="s">
        <v>311</v>
      </c>
      <c r="G216" s="26" t="s">
        <v>179</v>
      </c>
      <c r="H216" s="26" t="s">
        <v>29</v>
      </c>
      <c r="I216" s="26" t="s">
        <v>30</v>
      </c>
      <c r="J216" s="26" t="s">
        <v>110</v>
      </c>
      <c r="K216" s="26" t="s">
        <v>65</v>
      </c>
      <c r="L216" s="26">
        <v>98</v>
      </c>
      <c r="M216" s="26" t="s">
        <v>872</v>
      </c>
      <c r="N216" s="26" t="s">
        <v>34</v>
      </c>
      <c r="O216" s="26">
        <v>195</v>
      </c>
      <c r="P216" s="26">
        <v>220</v>
      </c>
      <c r="Q216" s="49" t="s">
        <v>873</v>
      </c>
      <c r="R216" s="44" t="s">
        <v>874</v>
      </c>
      <c r="S216" s="26" t="s">
        <v>179</v>
      </c>
      <c r="T216" s="26" t="s">
        <v>40</v>
      </c>
      <c r="U216" s="26" t="s">
        <v>870</v>
      </c>
      <c r="V216" s="26" t="s">
        <v>40</v>
      </c>
      <c r="W216" s="26" t="s">
        <v>40</v>
      </c>
      <c r="X216" s="49" t="s">
        <v>871</v>
      </c>
      <c r="Y216" s="26" t="s">
        <v>388</v>
      </c>
      <c r="Z216" s="26" t="s">
        <v>72</v>
      </c>
      <c r="AA216" s="36">
        <v>0</v>
      </c>
      <c r="AB216" s="37">
        <v>0</v>
      </c>
      <c r="AC216" s="32">
        <v>44717.22</v>
      </c>
      <c r="AD216" s="12">
        <v>0</v>
      </c>
      <c r="AE216" s="12">
        <v>0</v>
      </c>
      <c r="AF216" s="49"/>
    </row>
    <row r="217" spans="1:32" ht="22.5" customHeight="1" x14ac:dyDescent="0.25">
      <c r="A217" s="8">
        <v>216</v>
      </c>
      <c r="B217" s="34">
        <v>46144</v>
      </c>
      <c r="C217" s="27">
        <v>7.2916666666666671E-2</v>
      </c>
      <c r="D217" s="26" t="s">
        <v>580</v>
      </c>
      <c r="E217" s="11" t="s">
        <v>73</v>
      </c>
      <c r="F217" s="26" t="s">
        <v>581</v>
      </c>
      <c r="G217" s="26" t="s">
        <v>587</v>
      </c>
      <c r="H217" s="26" t="s">
        <v>49</v>
      </c>
      <c r="I217" s="26" t="s">
        <v>472</v>
      </c>
      <c r="J217" s="26" t="s">
        <v>214</v>
      </c>
      <c r="K217" s="26" t="s">
        <v>214</v>
      </c>
      <c r="L217" s="26">
        <v>102</v>
      </c>
      <c r="M217" s="26" t="s">
        <v>875</v>
      </c>
      <c r="N217" s="26"/>
      <c r="O217" s="26"/>
      <c r="P217" s="26"/>
      <c r="Q217" s="49" t="s">
        <v>876</v>
      </c>
      <c r="R217" s="44" t="s">
        <v>877</v>
      </c>
      <c r="S217" s="26" t="s">
        <v>878</v>
      </c>
      <c r="T217" s="26" t="s">
        <v>40</v>
      </c>
      <c r="U217" s="26" t="s">
        <v>791</v>
      </c>
      <c r="V217" s="17" t="s">
        <v>40</v>
      </c>
      <c r="W217" s="17" t="s">
        <v>40</v>
      </c>
      <c r="X217" s="49" t="s">
        <v>871</v>
      </c>
      <c r="Y217" s="26" t="s">
        <v>879</v>
      </c>
      <c r="Z217" s="26" t="s">
        <v>72</v>
      </c>
      <c r="AA217" s="36">
        <v>0</v>
      </c>
      <c r="AB217" s="37">
        <v>0</v>
      </c>
      <c r="AC217" s="32">
        <v>44717.22</v>
      </c>
      <c r="AD217" s="12">
        <f>AA217/24*AC217</f>
        <v>0</v>
      </c>
      <c r="AE217" s="12">
        <f>AB217/24*AC217</f>
        <v>0</v>
      </c>
      <c r="AF217" s="49"/>
    </row>
    <row r="218" spans="1:32" ht="22.5" customHeight="1" x14ac:dyDescent="0.25">
      <c r="A218" s="8">
        <v>217</v>
      </c>
      <c r="B218" s="34">
        <v>46058</v>
      </c>
      <c r="C218" s="27">
        <v>0.13194444444444445</v>
      </c>
      <c r="D218" s="26" t="s">
        <v>310</v>
      </c>
      <c r="E218" s="11" t="s">
        <v>73</v>
      </c>
      <c r="F218" s="26" t="s">
        <v>311</v>
      </c>
      <c r="G218" s="26" t="s">
        <v>179</v>
      </c>
      <c r="H218" s="26" t="s">
        <v>29</v>
      </c>
      <c r="I218" s="26" t="s">
        <v>30</v>
      </c>
      <c r="J218" s="26" t="s">
        <v>110</v>
      </c>
      <c r="K218" s="26" t="s">
        <v>65</v>
      </c>
      <c r="L218" s="26">
        <v>98</v>
      </c>
      <c r="M218" s="26" t="s">
        <v>51</v>
      </c>
      <c r="N218" s="26" t="s">
        <v>867</v>
      </c>
      <c r="O218" s="26">
        <v>285</v>
      </c>
      <c r="P218" s="26">
        <v>0</v>
      </c>
      <c r="Q218" s="49" t="s">
        <v>880</v>
      </c>
      <c r="R218" s="44" t="s">
        <v>881</v>
      </c>
      <c r="S218" s="26" t="s">
        <v>179</v>
      </c>
      <c r="T218" s="26" t="s">
        <v>40</v>
      </c>
      <c r="U218" s="26" t="s">
        <v>870</v>
      </c>
      <c r="V218" s="26" t="s">
        <v>40</v>
      </c>
      <c r="W218" s="26" t="s">
        <v>40</v>
      </c>
      <c r="X218" s="49" t="s">
        <v>871</v>
      </c>
      <c r="Y218" s="26" t="s">
        <v>309</v>
      </c>
      <c r="Z218" s="26" t="s">
        <v>123</v>
      </c>
      <c r="AA218" s="36">
        <v>0</v>
      </c>
      <c r="AB218" s="37">
        <v>0</v>
      </c>
      <c r="AC218" s="32">
        <v>44717.22</v>
      </c>
      <c r="AD218" s="12">
        <v>0</v>
      </c>
      <c r="AE218" s="12">
        <v>0</v>
      </c>
      <c r="AF218" s="49"/>
    </row>
    <row r="219" spans="1:32" ht="22.5" customHeight="1" x14ac:dyDescent="0.25">
      <c r="A219" s="8">
        <v>218</v>
      </c>
      <c r="B219" s="34">
        <v>46144</v>
      </c>
      <c r="C219" s="27">
        <v>4.8611111111111112E-2</v>
      </c>
      <c r="D219" s="26" t="s">
        <v>580</v>
      </c>
      <c r="E219" s="11" t="s">
        <v>73</v>
      </c>
      <c r="F219" s="26" t="s">
        <v>581</v>
      </c>
      <c r="G219" s="26" t="s">
        <v>587</v>
      </c>
      <c r="H219" s="26" t="s">
        <v>49</v>
      </c>
      <c r="I219" s="26" t="s">
        <v>50</v>
      </c>
      <c r="J219" s="26" t="s">
        <v>92</v>
      </c>
      <c r="K219" s="26" t="s">
        <v>65</v>
      </c>
      <c r="L219" s="26">
        <v>103</v>
      </c>
      <c r="M219" s="26" t="s">
        <v>430</v>
      </c>
      <c r="N219" s="26" t="s">
        <v>430</v>
      </c>
      <c r="O219" s="26">
        <v>20</v>
      </c>
      <c r="P219" s="26">
        <v>17</v>
      </c>
      <c r="Q219" s="49" t="s">
        <v>882</v>
      </c>
      <c r="R219" s="44" t="s">
        <v>883</v>
      </c>
      <c r="S219" s="26" t="s">
        <v>587</v>
      </c>
      <c r="T219" s="26" t="s">
        <v>40</v>
      </c>
      <c r="U219" s="26" t="s">
        <v>884</v>
      </c>
      <c r="V219" s="26" t="s">
        <v>40</v>
      </c>
      <c r="W219" s="26" t="s">
        <v>40</v>
      </c>
      <c r="X219" s="49" t="s">
        <v>871</v>
      </c>
      <c r="Y219" s="26" t="s">
        <v>648</v>
      </c>
      <c r="Z219" s="26" t="s">
        <v>123</v>
      </c>
      <c r="AA219" s="36">
        <v>4.5</v>
      </c>
      <c r="AB219" s="37">
        <v>0</v>
      </c>
      <c r="AC219" s="32">
        <v>44717.22</v>
      </c>
      <c r="AD219" s="12">
        <f>AA219/24*AC219</f>
        <v>8384.4787500000002</v>
      </c>
      <c r="AE219" s="12">
        <f>AB219/24*AC219</f>
        <v>0</v>
      </c>
      <c r="AF219" s="49"/>
    </row>
    <row r="220" spans="1:32" ht="22.5" customHeight="1" x14ac:dyDescent="0.25">
      <c r="A220" s="8">
        <v>219</v>
      </c>
      <c r="B220" s="34">
        <v>46144</v>
      </c>
      <c r="C220" s="27">
        <v>0.16666666666666666</v>
      </c>
      <c r="D220" s="26" t="s">
        <v>616</v>
      </c>
      <c r="E220" s="11" t="s">
        <v>73</v>
      </c>
      <c r="F220" s="26" t="s">
        <v>617</v>
      </c>
      <c r="G220" s="26" t="s">
        <v>301</v>
      </c>
      <c r="H220" s="26" t="s">
        <v>49</v>
      </c>
      <c r="I220" s="26" t="s">
        <v>50</v>
      </c>
      <c r="J220" s="26" t="s">
        <v>31</v>
      </c>
      <c r="K220" s="26" t="s">
        <v>65</v>
      </c>
      <c r="L220" s="26">
        <v>104</v>
      </c>
      <c r="M220" s="26" t="s">
        <v>51</v>
      </c>
      <c r="N220" s="26"/>
      <c r="O220" s="26"/>
      <c r="P220" s="26"/>
      <c r="Q220" s="49" t="s">
        <v>885</v>
      </c>
      <c r="R220" s="44" t="s">
        <v>886</v>
      </c>
      <c r="S220" s="26" t="s">
        <v>301</v>
      </c>
      <c r="T220" s="26" t="s">
        <v>40</v>
      </c>
      <c r="U220" s="26" t="s">
        <v>887</v>
      </c>
      <c r="V220" s="26" t="s">
        <v>40</v>
      </c>
      <c r="W220" s="26" t="s">
        <v>40</v>
      </c>
      <c r="X220" s="49" t="s">
        <v>871</v>
      </c>
      <c r="Y220" s="26" t="s">
        <v>632</v>
      </c>
      <c r="Z220" s="26" t="s">
        <v>123</v>
      </c>
      <c r="AA220" s="36">
        <v>0</v>
      </c>
      <c r="AB220" s="37">
        <v>0</v>
      </c>
      <c r="AC220" s="32">
        <v>44717.22</v>
      </c>
      <c r="AD220" s="12">
        <v>0</v>
      </c>
      <c r="AE220" s="12">
        <v>0</v>
      </c>
      <c r="AF220" s="49"/>
    </row>
    <row r="221" spans="1:32" ht="22.5" customHeight="1" x14ac:dyDescent="0.25">
      <c r="A221" s="8">
        <v>220</v>
      </c>
      <c r="B221" s="34">
        <v>46144</v>
      </c>
      <c r="C221" s="27">
        <v>0.47916666666666669</v>
      </c>
      <c r="D221" s="26" t="s">
        <v>616</v>
      </c>
      <c r="E221" s="11" t="s">
        <v>73</v>
      </c>
      <c r="F221" s="26" t="s">
        <v>617</v>
      </c>
      <c r="G221" s="26" t="s">
        <v>163</v>
      </c>
      <c r="H221" s="26" t="s">
        <v>49</v>
      </c>
      <c r="I221" s="26" t="s">
        <v>50</v>
      </c>
      <c r="J221" s="26" t="s">
        <v>31</v>
      </c>
      <c r="K221" s="26" t="s">
        <v>65</v>
      </c>
      <c r="L221" s="26">
        <v>104</v>
      </c>
      <c r="M221" s="26" t="s">
        <v>51</v>
      </c>
      <c r="N221" s="26" t="s">
        <v>788</v>
      </c>
      <c r="O221" s="26"/>
      <c r="P221" s="26"/>
      <c r="Q221" s="49" t="s">
        <v>888</v>
      </c>
      <c r="R221" s="44" t="s">
        <v>889</v>
      </c>
      <c r="S221" s="26" t="s">
        <v>163</v>
      </c>
      <c r="T221" s="26" t="s">
        <v>40</v>
      </c>
      <c r="U221" s="26" t="s">
        <v>887</v>
      </c>
      <c r="V221" s="26" t="s">
        <v>40</v>
      </c>
      <c r="W221" s="26" t="s">
        <v>462</v>
      </c>
      <c r="X221" s="49" t="s">
        <v>890</v>
      </c>
      <c r="Y221" s="26" t="s">
        <v>641</v>
      </c>
      <c r="Z221" s="26" t="s">
        <v>72</v>
      </c>
      <c r="AA221" s="36">
        <v>0</v>
      </c>
      <c r="AB221" s="37">
        <v>0</v>
      </c>
      <c r="AC221" s="32">
        <v>44717.22</v>
      </c>
      <c r="AD221" s="12">
        <v>0</v>
      </c>
      <c r="AE221" s="12">
        <v>0</v>
      </c>
      <c r="AF221" s="49"/>
    </row>
    <row r="222" spans="1:32" s="42" customFormat="1" ht="22.5" customHeight="1" x14ac:dyDescent="0.25">
      <c r="A222" s="8">
        <v>221</v>
      </c>
      <c r="B222" s="34">
        <v>46175</v>
      </c>
      <c r="C222" s="27">
        <v>0.47916666666666669</v>
      </c>
      <c r="D222" s="26" t="s">
        <v>601</v>
      </c>
      <c r="E222" s="11" t="s">
        <v>73</v>
      </c>
      <c r="F222" s="26" t="s">
        <v>891</v>
      </c>
      <c r="G222" s="26" t="s">
        <v>48</v>
      </c>
      <c r="H222" s="26" t="s">
        <v>49</v>
      </c>
      <c r="I222" s="26" t="s">
        <v>50</v>
      </c>
      <c r="J222" s="26" t="s">
        <v>31</v>
      </c>
      <c r="K222" s="26" t="s">
        <v>32</v>
      </c>
      <c r="L222" s="26">
        <v>104</v>
      </c>
      <c r="M222" s="26" t="s">
        <v>51</v>
      </c>
      <c r="N222" s="26" t="s">
        <v>223</v>
      </c>
      <c r="O222" s="26">
        <v>500</v>
      </c>
      <c r="P222" s="26">
        <v>128</v>
      </c>
      <c r="Q222" s="49" t="s">
        <v>892</v>
      </c>
      <c r="R222" s="44" t="s">
        <v>893</v>
      </c>
      <c r="S222" s="26" t="s">
        <v>48</v>
      </c>
      <c r="T222" s="26" t="s">
        <v>40</v>
      </c>
      <c r="U222" s="26" t="s">
        <v>894</v>
      </c>
      <c r="V222" s="26" t="s">
        <v>40</v>
      </c>
      <c r="W222" s="26" t="s">
        <v>462</v>
      </c>
      <c r="X222" s="49" t="s">
        <v>895</v>
      </c>
      <c r="Y222" s="26" t="s">
        <v>632</v>
      </c>
      <c r="Z222" s="26" t="s">
        <v>123</v>
      </c>
      <c r="AA222" s="36">
        <v>0</v>
      </c>
      <c r="AB222" s="37">
        <v>0</v>
      </c>
      <c r="AC222" s="32">
        <v>44717.22</v>
      </c>
      <c r="AD222" s="12">
        <v>0</v>
      </c>
      <c r="AE222" s="12">
        <v>0</v>
      </c>
      <c r="AF222" s="49"/>
    </row>
    <row r="223" spans="1:32" ht="22.5" customHeight="1" x14ac:dyDescent="0.25">
      <c r="A223" s="8">
        <v>222</v>
      </c>
      <c r="B223" s="34">
        <v>46175</v>
      </c>
      <c r="C223" s="27">
        <v>0.3125</v>
      </c>
      <c r="D223" s="26" t="s">
        <v>601</v>
      </c>
      <c r="E223" s="11" t="s">
        <v>73</v>
      </c>
      <c r="F223" s="26" t="s">
        <v>891</v>
      </c>
      <c r="G223" s="26" t="s">
        <v>48</v>
      </c>
      <c r="H223" s="26" t="s">
        <v>49</v>
      </c>
      <c r="I223" s="26" t="s">
        <v>50</v>
      </c>
      <c r="J223" s="26" t="s">
        <v>110</v>
      </c>
      <c r="K223" s="26" t="s">
        <v>65</v>
      </c>
      <c r="L223" s="26">
        <v>105</v>
      </c>
      <c r="M223" s="26" t="s">
        <v>51</v>
      </c>
      <c r="N223" s="26" t="s">
        <v>896</v>
      </c>
      <c r="O223" s="26">
        <v>80</v>
      </c>
      <c r="P223" s="26">
        <v>120</v>
      </c>
      <c r="Q223" s="49" t="s">
        <v>897</v>
      </c>
      <c r="R223" s="44" t="s">
        <v>898</v>
      </c>
      <c r="S223" s="26" t="s">
        <v>48</v>
      </c>
      <c r="T223" s="26" t="s">
        <v>40</v>
      </c>
      <c r="U223" s="26" t="s">
        <v>887</v>
      </c>
      <c r="V223" s="26" t="s">
        <v>40</v>
      </c>
      <c r="W223" s="26" t="s">
        <v>40</v>
      </c>
      <c r="X223" s="49" t="s">
        <v>871</v>
      </c>
      <c r="Y223" s="26" t="s">
        <v>641</v>
      </c>
      <c r="Z223" s="26" t="s">
        <v>72</v>
      </c>
      <c r="AA223" s="26">
        <v>0</v>
      </c>
      <c r="AB223" s="31">
        <v>0</v>
      </c>
      <c r="AC223" s="32">
        <v>44717.22</v>
      </c>
      <c r="AD223" s="12">
        <v>0</v>
      </c>
      <c r="AE223" s="12">
        <v>0</v>
      </c>
      <c r="AF223" s="49"/>
    </row>
    <row r="224" spans="1:32" ht="22.5" customHeight="1" x14ac:dyDescent="0.25">
      <c r="A224" s="8">
        <v>223</v>
      </c>
      <c r="B224" s="34">
        <v>46175</v>
      </c>
      <c r="C224" s="27">
        <v>0.6875</v>
      </c>
      <c r="D224" s="26" t="s">
        <v>616</v>
      </c>
      <c r="E224" s="11" t="s">
        <v>73</v>
      </c>
      <c r="F224" s="26" t="s">
        <v>617</v>
      </c>
      <c r="G224" s="26" t="s">
        <v>163</v>
      </c>
      <c r="H224" s="26" t="s">
        <v>49</v>
      </c>
      <c r="I224" s="26" t="s">
        <v>50</v>
      </c>
      <c r="J224" s="26" t="s">
        <v>92</v>
      </c>
      <c r="K224" s="26" t="s">
        <v>65</v>
      </c>
      <c r="L224" s="26">
        <v>106</v>
      </c>
      <c r="M224" s="26" t="s">
        <v>899</v>
      </c>
      <c r="N224" s="26" t="s">
        <v>75</v>
      </c>
      <c r="O224" s="26">
        <v>40</v>
      </c>
      <c r="P224" s="26">
        <v>30</v>
      </c>
      <c r="Q224" s="49" t="s">
        <v>900</v>
      </c>
      <c r="R224" s="44" t="s">
        <v>901</v>
      </c>
      <c r="S224" s="26" t="s">
        <v>163</v>
      </c>
      <c r="T224" s="26" t="s">
        <v>40</v>
      </c>
      <c r="U224" s="26" t="s">
        <v>887</v>
      </c>
      <c r="V224" s="26" t="s">
        <v>40</v>
      </c>
      <c r="W224" s="26" t="s">
        <v>902</v>
      </c>
      <c r="X224" s="49"/>
      <c r="Y224" s="26" t="s">
        <v>801</v>
      </c>
      <c r="Z224" s="26" t="s">
        <v>72</v>
      </c>
      <c r="AA224" s="26">
        <v>0</v>
      </c>
      <c r="AB224" s="31">
        <v>0</v>
      </c>
      <c r="AC224" s="32">
        <v>44717.22</v>
      </c>
      <c r="AD224" s="12">
        <f>AA224/24*AC224</f>
        <v>0</v>
      </c>
      <c r="AE224" s="12">
        <f>AB224/24*AC224</f>
        <v>0</v>
      </c>
      <c r="AF224" s="49"/>
    </row>
    <row r="225" spans="1:32" ht="22.5" customHeight="1" x14ac:dyDescent="0.25">
      <c r="A225" s="8">
        <v>224</v>
      </c>
      <c r="B225" s="34">
        <v>46205</v>
      </c>
      <c r="C225" s="27">
        <v>0.95138888888888884</v>
      </c>
      <c r="D225" s="26" t="s">
        <v>616</v>
      </c>
      <c r="E225" s="11" t="s">
        <v>73</v>
      </c>
      <c r="F225" s="26" t="s">
        <v>617</v>
      </c>
      <c r="G225" s="26" t="s">
        <v>163</v>
      </c>
      <c r="H225" s="26" t="s">
        <v>49</v>
      </c>
      <c r="I225" s="26" t="s">
        <v>50</v>
      </c>
      <c r="J225" s="26" t="s">
        <v>31</v>
      </c>
      <c r="K225" s="26" t="s">
        <v>65</v>
      </c>
      <c r="L225" s="26">
        <v>107</v>
      </c>
      <c r="M225" s="26" t="s">
        <v>51</v>
      </c>
      <c r="N225" s="26" t="s">
        <v>903</v>
      </c>
      <c r="O225" s="26">
        <v>50</v>
      </c>
      <c r="P225" s="26">
        <v>42</v>
      </c>
      <c r="Q225" s="49" t="s">
        <v>904</v>
      </c>
      <c r="R225" s="44" t="s">
        <v>905</v>
      </c>
      <c r="S225" s="26" t="s">
        <v>163</v>
      </c>
      <c r="T225" s="26" t="s">
        <v>40</v>
      </c>
      <c r="U225" s="26" t="s">
        <v>906</v>
      </c>
      <c r="V225" s="26" t="s">
        <v>40</v>
      </c>
      <c r="W225" s="26" t="s">
        <v>40</v>
      </c>
      <c r="X225" s="49" t="s">
        <v>907</v>
      </c>
      <c r="Y225" s="26" t="s">
        <v>632</v>
      </c>
      <c r="Z225" s="26" t="s">
        <v>123</v>
      </c>
      <c r="AA225" s="26">
        <v>0</v>
      </c>
      <c r="AB225" s="31">
        <v>0</v>
      </c>
      <c r="AC225" s="32">
        <v>44717.22</v>
      </c>
      <c r="AD225" s="12">
        <v>0</v>
      </c>
      <c r="AE225" s="12">
        <v>0</v>
      </c>
      <c r="AF225" s="49"/>
    </row>
    <row r="226" spans="1:32" ht="22.5" customHeight="1" x14ac:dyDescent="0.25">
      <c r="A226" s="8">
        <v>225</v>
      </c>
      <c r="B226" s="34">
        <v>46236</v>
      </c>
      <c r="C226" s="27">
        <v>0.52430555555555558</v>
      </c>
      <c r="D226" s="26" t="s">
        <v>601</v>
      </c>
      <c r="E226" s="11" t="s">
        <v>73</v>
      </c>
      <c r="F226" s="26" t="s">
        <v>891</v>
      </c>
      <c r="G226" s="26" t="s">
        <v>48</v>
      </c>
      <c r="H226" s="26" t="s">
        <v>49</v>
      </c>
      <c r="I226" s="26" t="s">
        <v>50</v>
      </c>
      <c r="J226" s="26" t="s">
        <v>214</v>
      </c>
      <c r="K226" s="26" t="s">
        <v>193</v>
      </c>
      <c r="L226" s="26">
        <v>108</v>
      </c>
      <c r="M226" s="26" t="s">
        <v>517</v>
      </c>
      <c r="N226" s="26"/>
      <c r="O226" s="26"/>
      <c r="P226" s="26"/>
      <c r="Q226" s="49" t="s">
        <v>908</v>
      </c>
      <c r="R226" s="44" t="s">
        <v>909</v>
      </c>
      <c r="S226" s="26" t="s">
        <v>48</v>
      </c>
      <c r="T226" s="26" t="s">
        <v>40</v>
      </c>
      <c r="U226" s="26" t="s">
        <v>910</v>
      </c>
      <c r="V226" s="17" t="s">
        <v>40</v>
      </c>
      <c r="W226" s="17" t="s">
        <v>40</v>
      </c>
      <c r="X226" s="49"/>
      <c r="Y226" s="26" t="s">
        <v>641</v>
      </c>
      <c r="Z226" s="26" t="s">
        <v>72</v>
      </c>
      <c r="AA226" s="26">
        <v>0</v>
      </c>
      <c r="AB226" s="31">
        <v>0</v>
      </c>
      <c r="AC226" s="32">
        <v>44717.22</v>
      </c>
      <c r="AD226" s="12">
        <f>AA226/24*AC226</f>
        <v>0</v>
      </c>
      <c r="AE226" s="12">
        <f>AB226/24*AC226</f>
        <v>0</v>
      </c>
      <c r="AF226" s="49"/>
    </row>
    <row r="227" spans="1:32" ht="22.5" customHeight="1" x14ac:dyDescent="0.25">
      <c r="A227" s="8">
        <v>226</v>
      </c>
      <c r="B227" s="34">
        <v>46236</v>
      </c>
      <c r="C227" s="27">
        <v>0.66666666666666663</v>
      </c>
      <c r="D227" s="26" t="s">
        <v>585</v>
      </c>
      <c r="E227" s="11" t="s">
        <v>73</v>
      </c>
      <c r="F227" s="26" t="s">
        <v>586</v>
      </c>
      <c r="G227" s="26" t="s">
        <v>587</v>
      </c>
      <c r="H227" s="26" t="s">
        <v>49</v>
      </c>
      <c r="I227" s="26" t="s">
        <v>50</v>
      </c>
      <c r="J227" s="26" t="s">
        <v>110</v>
      </c>
      <c r="K227" s="26" t="s">
        <v>32</v>
      </c>
      <c r="L227" s="26">
        <v>109</v>
      </c>
      <c r="M227" s="26" t="s">
        <v>911</v>
      </c>
      <c r="N227" s="26" t="s">
        <v>912</v>
      </c>
      <c r="O227" s="26">
        <v>304</v>
      </c>
      <c r="P227" s="26">
        <v>315</v>
      </c>
      <c r="Q227" s="49" t="s">
        <v>913</v>
      </c>
      <c r="R227" s="44" t="s">
        <v>914</v>
      </c>
      <c r="S227" s="26" t="s">
        <v>613</v>
      </c>
      <c r="T227" s="26" t="s">
        <v>40</v>
      </c>
      <c r="U227" s="26" t="s">
        <v>915</v>
      </c>
      <c r="V227" s="26" t="s">
        <v>40</v>
      </c>
      <c r="W227" s="26" t="s">
        <v>902</v>
      </c>
      <c r="X227" s="49" t="s">
        <v>916</v>
      </c>
      <c r="Y227" s="26" t="s">
        <v>648</v>
      </c>
      <c r="Z227" s="26" t="s">
        <v>72</v>
      </c>
      <c r="AA227" s="26">
        <v>0</v>
      </c>
      <c r="AB227" s="31">
        <v>0</v>
      </c>
      <c r="AC227" s="32">
        <v>44717.22</v>
      </c>
      <c r="AD227" s="12">
        <v>0</v>
      </c>
      <c r="AE227" s="12">
        <v>0</v>
      </c>
      <c r="AF227" s="49"/>
    </row>
    <row r="228" spans="1:32" ht="22.5" customHeight="1" x14ac:dyDescent="0.25">
      <c r="A228" s="8">
        <v>227</v>
      </c>
      <c r="B228" s="34">
        <v>46236</v>
      </c>
      <c r="C228" s="27">
        <v>0.67708333333333337</v>
      </c>
      <c r="D228" s="26" t="s">
        <v>585</v>
      </c>
      <c r="E228" s="11" t="s">
        <v>73</v>
      </c>
      <c r="F228" s="26" t="s">
        <v>586</v>
      </c>
      <c r="G228" s="26" t="s">
        <v>587</v>
      </c>
      <c r="H228" s="26" t="s">
        <v>49</v>
      </c>
      <c r="I228" s="26" t="s">
        <v>50</v>
      </c>
      <c r="J228" s="26" t="s">
        <v>110</v>
      </c>
      <c r="K228" s="26" t="s">
        <v>65</v>
      </c>
      <c r="L228" s="26">
        <v>110</v>
      </c>
      <c r="M228" s="26" t="s">
        <v>318</v>
      </c>
      <c r="N228" s="26" t="s">
        <v>912</v>
      </c>
      <c r="O228" s="26">
        <v>304</v>
      </c>
      <c r="P228" s="26">
        <v>315</v>
      </c>
      <c r="Q228" s="49" t="s">
        <v>917</v>
      </c>
      <c r="R228" s="44" t="s">
        <v>918</v>
      </c>
      <c r="S228" s="26" t="s">
        <v>613</v>
      </c>
      <c r="T228" s="26" t="s">
        <v>40</v>
      </c>
      <c r="U228" s="26" t="s">
        <v>915</v>
      </c>
      <c r="V228" s="26" t="s">
        <v>40</v>
      </c>
      <c r="W228" s="26" t="s">
        <v>902</v>
      </c>
      <c r="X228" s="49" t="s">
        <v>919</v>
      </c>
      <c r="Y228" s="26" t="s">
        <v>648</v>
      </c>
      <c r="Z228" s="26" t="s">
        <v>72</v>
      </c>
      <c r="AA228" s="26">
        <v>0</v>
      </c>
      <c r="AB228" s="31">
        <v>0</v>
      </c>
      <c r="AC228" s="32">
        <v>44717.22</v>
      </c>
      <c r="AD228" s="12">
        <v>0</v>
      </c>
      <c r="AE228" s="12">
        <v>0</v>
      </c>
      <c r="AF228" s="49"/>
    </row>
    <row r="229" spans="1:32" ht="22.5" customHeight="1" x14ac:dyDescent="0.25">
      <c r="A229" s="8">
        <v>228</v>
      </c>
      <c r="B229" s="34">
        <v>46236</v>
      </c>
      <c r="C229" s="27">
        <v>0.66666666666666663</v>
      </c>
      <c r="D229" s="26" t="s">
        <v>585</v>
      </c>
      <c r="E229" s="11" t="s">
        <v>73</v>
      </c>
      <c r="F229" s="26" t="s">
        <v>586</v>
      </c>
      <c r="G229" s="26" t="s">
        <v>587</v>
      </c>
      <c r="H229" s="26" t="s">
        <v>49</v>
      </c>
      <c r="I229" s="26" t="s">
        <v>50</v>
      </c>
      <c r="J229" s="26" t="s">
        <v>110</v>
      </c>
      <c r="K229" s="26" t="s">
        <v>32</v>
      </c>
      <c r="L229" s="26">
        <v>109</v>
      </c>
      <c r="M229" s="26" t="s">
        <v>911</v>
      </c>
      <c r="N229" s="26" t="s">
        <v>912</v>
      </c>
      <c r="O229" s="26">
        <v>304</v>
      </c>
      <c r="P229" s="26">
        <v>315</v>
      </c>
      <c r="Q229" s="49" t="s">
        <v>913</v>
      </c>
      <c r="R229" s="44" t="s">
        <v>920</v>
      </c>
      <c r="S229" s="26" t="s">
        <v>613</v>
      </c>
      <c r="T229" s="26" t="s">
        <v>40</v>
      </c>
      <c r="U229" s="26" t="s">
        <v>915</v>
      </c>
      <c r="V229" s="26" t="s">
        <v>40</v>
      </c>
      <c r="W229" s="26" t="s">
        <v>40</v>
      </c>
      <c r="X229" s="49" t="s">
        <v>921</v>
      </c>
      <c r="Y229" s="26" t="s">
        <v>648</v>
      </c>
      <c r="Z229" s="26" t="s">
        <v>72</v>
      </c>
      <c r="AA229" s="26">
        <v>0</v>
      </c>
      <c r="AB229" s="31">
        <v>0</v>
      </c>
      <c r="AC229" s="32">
        <v>44717.22</v>
      </c>
      <c r="AD229" s="12">
        <v>0</v>
      </c>
      <c r="AE229" s="12">
        <v>0</v>
      </c>
      <c r="AF229" s="49"/>
    </row>
    <row r="230" spans="1:32" ht="22.5" customHeight="1" x14ac:dyDescent="0.25">
      <c r="A230" s="8">
        <v>229</v>
      </c>
      <c r="B230" s="34">
        <v>46236</v>
      </c>
      <c r="C230" s="27">
        <v>0.82638888888888884</v>
      </c>
      <c r="D230" s="26" t="s">
        <v>616</v>
      </c>
      <c r="E230" s="11" t="s">
        <v>73</v>
      </c>
      <c r="F230" s="26" t="s">
        <v>617</v>
      </c>
      <c r="G230" s="26" t="s">
        <v>163</v>
      </c>
      <c r="H230" s="26" t="s">
        <v>49</v>
      </c>
      <c r="I230" s="26" t="s">
        <v>50</v>
      </c>
      <c r="J230" s="26" t="s">
        <v>31</v>
      </c>
      <c r="K230" s="26" t="s">
        <v>65</v>
      </c>
      <c r="L230" s="26">
        <v>108</v>
      </c>
      <c r="M230" s="26" t="s">
        <v>51</v>
      </c>
      <c r="N230" s="26" t="s">
        <v>346</v>
      </c>
      <c r="O230" s="26">
        <v>145.69999999999999</v>
      </c>
      <c r="P230" s="26" t="s">
        <v>922</v>
      </c>
      <c r="Q230" s="49" t="s">
        <v>923</v>
      </c>
      <c r="R230" s="44" t="s">
        <v>924</v>
      </c>
      <c r="S230" s="26" t="s">
        <v>163</v>
      </c>
      <c r="T230" s="26" t="s">
        <v>40</v>
      </c>
      <c r="U230" s="26" t="s">
        <v>925</v>
      </c>
      <c r="V230" s="26" t="s">
        <v>40</v>
      </c>
      <c r="W230" s="26" t="s">
        <v>40</v>
      </c>
      <c r="X230" s="49" t="s">
        <v>926</v>
      </c>
      <c r="Y230" s="26" t="s">
        <v>927</v>
      </c>
      <c r="Z230" s="26" t="s">
        <v>123</v>
      </c>
      <c r="AA230" s="26">
        <v>0</v>
      </c>
      <c r="AB230" s="31">
        <v>0</v>
      </c>
      <c r="AC230" s="32">
        <v>44717.22</v>
      </c>
      <c r="AD230" s="12">
        <v>0</v>
      </c>
      <c r="AE230" s="12">
        <v>0</v>
      </c>
      <c r="AF230" s="49"/>
    </row>
    <row r="231" spans="1:32" ht="22.5" customHeight="1" x14ac:dyDescent="0.25">
      <c r="A231" s="8">
        <v>230</v>
      </c>
      <c r="B231" s="34">
        <v>46267</v>
      </c>
      <c r="C231" s="27">
        <v>0.35416666666666669</v>
      </c>
      <c r="D231" s="26" t="s">
        <v>601</v>
      </c>
      <c r="E231" s="11" t="s">
        <v>73</v>
      </c>
      <c r="F231" s="26" t="s">
        <v>891</v>
      </c>
      <c r="G231" s="26" t="s">
        <v>48</v>
      </c>
      <c r="H231" s="26" t="s">
        <v>49</v>
      </c>
      <c r="I231" s="26" t="s">
        <v>50</v>
      </c>
      <c r="J231" s="26" t="s">
        <v>110</v>
      </c>
      <c r="K231" s="26" t="s">
        <v>32</v>
      </c>
      <c r="L231" s="26">
        <v>108</v>
      </c>
      <c r="M231" s="26" t="s">
        <v>928</v>
      </c>
      <c r="N231" s="26"/>
      <c r="O231" s="26"/>
      <c r="P231" s="26"/>
      <c r="Q231" s="49" t="s">
        <v>929</v>
      </c>
      <c r="R231" s="44" t="s">
        <v>930</v>
      </c>
      <c r="S231" s="26" t="s">
        <v>48</v>
      </c>
      <c r="T231" s="26" t="s">
        <v>40</v>
      </c>
      <c r="U231" s="26" t="s">
        <v>910</v>
      </c>
      <c r="V231" s="26" t="s">
        <v>40</v>
      </c>
      <c r="W231" s="26" t="s">
        <v>40</v>
      </c>
      <c r="X231" s="49" t="s">
        <v>931</v>
      </c>
      <c r="Y231" s="26" t="s">
        <v>641</v>
      </c>
      <c r="Z231" s="26" t="s">
        <v>72</v>
      </c>
      <c r="AA231" s="26">
        <v>0</v>
      </c>
      <c r="AB231" s="31">
        <v>0</v>
      </c>
      <c r="AC231" s="32">
        <v>44717.22</v>
      </c>
      <c r="AD231" s="12">
        <v>0</v>
      </c>
      <c r="AE231" s="12">
        <v>0</v>
      </c>
      <c r="AF231" s="49"/>
    </row>
    <row r="232" spans="1:32" ht="22.5" customHeight="1" x14ac:dyDescent="0.25">
      <c r="A232" s="8">
        <v>231</v>
      </c>
      <c r="B232" s="34">
        <v>46267</v>
      </c>
      <c r="C232" s="27">
        <v>0.41666666666666669</v>
      </c>
      <c r="D232" s="26" t="s">
        <v>747</v>
      </c>
      <c r="E232" s="11" t="s">
        <v>73</v>
      </c>
      <c r="F232" s="26" t="s">
        <v>748</v>
      </c>
      <c r="G232" s="26" t="s">
        <v>587</v>
      </c>
      <c r="H232" s="26" t="s">
        <v>49</v>
      </c>
      <c r="I232" s="26" t="s">
        <v>50</v>
      </c>
      <c r="J232" s="26" t="s">
        <v>214</v>
      </c>
      <c r="K232" s="26" t="s">
        <v>193</v>
      </c>
      <c r="L232" s="26">
        <v>111</v>
      </c>
      <c r="M232" s="26" t="s">
        <v>932</v>
      </c>
      <c r="N232" s="26"/>
      <c r="O232" s="26"/>
      <c r="P232" s="26"/>
      <c r="Q232" s="49" t="s">
        <v>933</v>
      </c>
      <c r="R232" s="44" t="s">
        <v>909</v>
      </c>
      <c r="S232" s="26" t="s">
        <v>613</v>
      </c>
      <c r="T232" s="26" t="s">
        <v>40</v>
      </c>
      <c r="U232" s="26" t="s">
        <v>910</v>
      </c>
      <c r="V232" s="17" t="s">
        <v>40</v>
      </c>
      <c r="W232" s="17" t="s">
        <v>40</v>
      </c>
      <c r="X232" s="49" t="s">
        <v>934</v>
      </c>
      <c r="Y232" s="26" t="s">
        <v>641</v>
      </c>
      <c r="Z232" s="26" t="s">
        <v>72</v>
      </c>
      <c r="AA232" s="26">
        <v>0</v>
      </c>
      <c r="AB232" s="31">
        <v>0</v>
      </c>
      <c r="AC232" s="32">
        <v>44717.22</v>
      </c>
      <c r="AD232" s="12">
        <f>AA232/24*AC232</f>
        <v>0</v>
      </c>
      <c r="AE232" s="12">
        <f>AB232/24*AC232</f>
        <v>0</v>
      </c>
      <c r="AF232" s="49"/>
    </row>
    <row r="233" spans="1:32" ht="22.5" customHeight="1" x14ac:dyDescent="0.25">
      <c r="A233" s="8">
        <v>232</v>
      </c>
      <c r="B233" s="34">
        <v>46267</v>
      </c>
      <c r="C233" s="27">
        <v>0.45833333333333331</v>
      </c>
      <c r="D233" s="26" t="s">
        <v>601</v>
      </c>
      <c r="E233" s="11" t="s">
        <v>73</v>
      </c>
      <c r="F233" s="26" t="s">
        <v>891</v>
      </c>
      <c r="G233" s="26" t="s">
        <v>48</v>
      </c>
      <c r="H233" s="26" t="s">
        <v>49</v>
      </c>
      <c r="I233" s="26" t="s">
        <v>50</v>
      </c>
      <c r="J233" s="26" t="s">
        <v>110</v>
      </c>
      <c r="K233" s="26" t="s">
        <v>65</v>
      </c>
      <c r="L233" s="26">
        <v>108</v>
      </c>
      <c r="M233" s="26" t="s">
        <v>872</v>
      </c>
      <c r="N233" s="26" t="s">
        <v>935</v>
      </c>
      <c r="O233" s="26">
        <v>0</v>
      </c>
      <c r="P233" s="26">
        <v>35</v>
      </c>
      <c r="Q233" s="49" t="s">
        <v>936</v>
      </c>
      <c r="R233" s="44" t="s">
        <v>937</v>
      </c>
      <c r="S233" s="26" t="s">
        <v>48</v>
      </c>
      <c r="T233" s="26" t="s">
        <v>40</v>
      </c>
      <c r="U233" s="26" t="s">
        <v>910</v>
      </c>
      <c r="V233" s="26" t="s">
        <v>40</v>
      </c>
      <c r="W233" s="26" t="s">
        <v>40</v>
      </c>
      <c r="X233" s="49" t="s">
        <v>934</v>
      </c>
      <c r="Y233" s="26" t="s">
        <v>641</v>
      </c>
      <c r="Z233" s="26" t="s">
        <v>72</v>
      </c>
      <c r="AA233" s="26">
        <v>0</v>
      </c>
      <c r="AB233" s="31">
        <v>0</v>
      </c>
      <c r="AC233" s="32">
        <v>44717.22</v>
      </c>
      <c r="AD233" s="12">
        <v>0</v>
      </c>
      <c r="AE233" s="12">
        <v>0</v>
      </c>
      <c r="AF233" s="49"/>
    </row>
    <row r="234" spans="1:32" ht="22.5" customHeight="1" x14ac:dyDescent="0.25">
      <c r="A234" s="8">
        <v>233</v>
      </c>
      <c r="B234" s="34">
        <v>46062</v>
      </c>
      <c r="C234" s="27">
        <v>0.84375</v>
      </c>
      <c r="D234" s="26" t="s">
        <v>747</v>
      </c>
      <c r="E234" s="11" t="s">
        <v>73</v>
      </c>
      <c r="F234" s="26" t="s">
        <v>748</v>
      </c>
      <c r="G234" s="26" t="s">
        <v>587</v>
      </c>
      <c r="H234" s="26" t="s">
        <v>49</v>
      </c>
      <c r="I234" s="26" t="s">
        <v>50</v>
      </c>
      <c r="J234" s="26" t="s">
        <v>214</v>
      </c>
      <c r="K234" s="26" t="s">
        <v>193</v>
      </c>
      <c r="L234" s="26">
        <v>111</v>
      </c>
      <c r="M234" s="26" t="s">
        <v>517</v>
      </c>
      <c r="N234" s="26"/>
      <c r="O234" s="26"/>
      <c r="P234" s="26"/>
      <c r="Q234" s="49" t="s">
        <v>938</v>
      </c>
      <c r="R234" s="44" t="s">
        <v>939</v>
      </c>
      <c r="S234" s="26" t="s">
        <v>587</v>
      </c>
      <c r="T234" s="26" t="s">
        <v>40</v>
      </c>
      <c r="U234" s="26" t="s">
        <v>940</v>
      </c>
      <c r="V234" s="17" t="s">
        <v>40</v>
      </c>
      <c r="W234" s="17" t="s">
        <v>40</v>
      </c>
      <c r="X234" s="49" t="s">
        <v>941</v>
      </c>
      <c r="Y234" s="26" t="s">
        <v>648</v>
      </c>
      <c r="Z234" s="26" t="s">
        <v>123</v>
      </c>
      <c r="AA234" s="26">
        <v>0</v>
      </c>
      <c r="AB234" s="31">
        <v>0</v>
      </c>
      <c r="AC234" s="32">
        <v>44717.22</v>
      </c>
      <c r="AD234" s="12">
        <f t="shared" ref="AD234:AD240" si="0">AA234/24*AC234</f>
        <v>0</v>
      </c>
      <c r="AE234" s="12">
        <f t="shared" ref="AE234:AE240" si="1">AB234/24*AC234</f>
        <v>0</v>
      </c>
      <c r="AF234" s="49"/>
    </row>
    <row r="235" spans="1:32" ht="22.5" customHeight="1" x14ac:dyDescent="0.25">
      <c r="A235" s="8">
        <v>234</v>
      </c>
      <c r="B235" s="60">
        <v>46063</v>
      </c>
      <c r="C235" s="27">
        <v>0.16458333333333333</v>
      </c>
      <c r="D235" s="26" t="s">
        <v>747</v>
      </c>
      <c r="E235" s="11" t="s">
        <v>73</v>
      </c>
      <c r="F235" s="26" t="s">
        <v>748</v>
      </c>
      <c r="G235" s="26" t="s">
        <v>587</v>
      </c>
      <c r="H235" s="26" t="s">
        <v>49</v>
      </c>
      <c r="I235" s="26" t="s">
        <v>50</v>
      </c>
      <c r="J235" s="26" t="s">
        <v>214</v>
      </c>
      <c r="K235" s="26" t="s">
        <v>833</v>
      </c>
      <c r="L235" s="26"/>
      <c r="M235" s="26" t="s">
        <v>942</v>
      </c>
      <c r="N235" s="26"/>
      <c r="O235" s="26"/>
      <c r="P235" s="26"/>
      <c r="Q235" s="49" t="s">
        <v>943</v>
      </c>
      <c r="R235" s="44" t="s">
        <v>944</v>
      </c>
      <c r="S235" s="26" t="s">
        <v>587</v>
      </c>
      <c r="T235" s="26" t="s">
        <v>40</v>
      </c>
      <c r="U235" s="26" t="s">
        <v>945</v>
      </c>
      <c r="V235" s="17" t="s">
        <v>40</v>
      </c>
      <c r="W235" s="17" t="s">
        <v>40</v>
      </c>
      <c r="X235" s="49"/>
      <c r="Y235" s="26" t="s">
        <v>632</v>
      </c>
      <c r="Z235" s="26" t="s">
        <v>123</v>
      </c>
      <c r="AA235" s="26">
        <v>0</v>
      </c>
      <c r="AB235" s="31">
        <v>0</v>
      </c>
      <c r="AC235" s="32">
        <v>44717.22</v>
      </c>
      <c r="AD235" s="12">
        <f t="shared" si="0"/>
        <v>0</v>
      </c>
      <c r="AE235" s="12">
        <f t="shared" si="1"/>
        <v>0</v>
      </c>
      <c r="AF235" s="49"/>
    </row>
    <row r="236" spans="1:32" ht="22.5" customHeight="1" x14ac:dyDescent="0.25">
      <c r="A236" s="8">
        <v>235</v>
      </c>
      <c r="B236" s="60">
        <v>46063</v>
      </c>
      <c r="C236" s="27">
        <v>0.4375</v>
      </c>
      <c r="D236" s="26" t="s">
        <v>601</v>
      </c>
      <c r="E236" s="11" t="s">
        <v>73</v>
      </c>
      <c r="F236" s="26" t="s">
        <v>891</v>
      </c>
      <c r="G236" s="26" t="s">
        <v>48</v>
      </c>
      <c r="H236" s="26" t="s">
        <v>49</v>
      </c>
      <c r="I236" s="26" t="s">
        <v>50</v>
      </c>
      <c r="J236" s="26" t="s">
        <v>214</v>
      </c>
      <c r="K236" s="26" t="s">
        <v>833</v>
      </c>
      <c r="L236" s="26"/>
      <c r="M236" s="26" t="s">
        <v>558</v>
      </c>
      <c r="N236" s="26"/>
      <c r="O236" s="26"/>
      <c r="P236" s="26"/>
      <c r="Q236" s="49" t="s">
        <v>946</v>
      </c>
      <c r="R236" s="44" t="s">
        <v>947</v>
      </c>
      <c r="S236" s="26" t="s">
        <v>48</v>
      </c>
      <c r="T236" s="26" t="s">
        <v>40</v>
      </c>
      <c r="U236" s="26" t="s">
        <v>910</v>
      </c>
      <c r="V236" s="17" t="s">
        <v>40</v>
      </c>
      <c r="W236" s="17" t="s">
        <v>40</v>
      </c>
      <c r="X236" s="49"/>
      <c r="Y236" s="26" t="s">
        <v>801</v>
      </c>
      <c r="Z236" s="26" t="s">
        <v>72</v>
      </c>
      <c r="AA236" s="26">
        <v>0</v>
      </c>
      <c r="AB236" s="31">
        <v>0</v>
      </c>
      <c r="AC236" s="32">
        <v>44717.22</v>
      </c>
      <c r="AD236" s="12">
        <f t="shared" si="0"/>
        <v>0</v>
      </c>
      <c r="AE236" s="12">
        <f t="shared" si="1"/>
        <v>0</v>
      </c>
      <c r="AF236" s="49"/>
    </row>
    <row r="237" spans="1:32" ht="22.5" customHeight="1" x14ac:dyDescent="0.25">
      <c r="A237" s="8">
        <v>236</v>
      </c>
      <c r="B237" s="60">
        <v>46063</v>
      </c>
      <c r="C237" s="27">
        <v>0.66666666666666663</v>
      </c>
      <c r="D237" s="26" t="s">
        <v>580</v>
      </c>
      <c r="E237" s="11" t="s">
        <v>73</v>
      </c>
      <c r="F237" s="26" t="s">
        <v>581</v>
      </c>
      <c r="G237" s="26" t="s">
        <v>587</v>
      </c>
      <c r="H237" s="26" t="s">
        <v>49</v>
      </c>
      <c r="I237" s="26" t="s">
        <v>50</v>
      </c>
      <c r="J237" s="26" t="s">
        <v>92</v>
      </c>
      <c r="K237" s="26" t="s">
        <v>65</v>
      </c>
      <c r="L237" s="26">
        <v>112</v>
      </c>
      <c r="M237" s="26" t="s">
        <v>948</v>
      </c>
      <c r="N237" s="26" t="s">
        <v>408</v>
      </c>
      <c r="O237" s="26">
        <v>2</v>
      </c>
      <c r="P237" s="26">
        <v>2.6</v>
      </c>
      <c r="Q237" s="49" t="s">
        <v>949</v>
      </c>
      <c r="R237" s="44" t="s">
        <v>950</v>
      </c>
      <c r="S237" s="26" t="s">
        <v>613</v>
      </c>
      <c r="T237" s="26" t="s">
        <v>40</v>
      </c>
      <c r="U237" s="26" t="s">
        <v>940</v>
      </c>
      <c r="V237" s="26" t="s">
        <v>462</v>
      </c>
      <c r="W237" s="26" t="s">
        <v>572</v>
      </c>
      <c r="X237" s="49" t="s">
        <v>951</v>
      </c>
      <c r="Y237" s="26" t="s">
        <v>648</v>
      </c>
      <c r="Z237" s="26" t="s">
        <v>72</v>
      </c>
      <c r="AA237" s="26">
        <v>0</v>
      </c>
      <c r="AB237" s="31">
        <v>0</v>
      </c>
      <c r="AC237" s="32">
        <v>44717.22</v>
      </c>
      <c r="AD237" s="12">
        <f t="shared" si="0"/>
        <v>0</v>
      </c>
      <c r="AE237" s="12">
        <f t="shared" si="1"/>
        <v>0</v>
      </c>
      <c r="AF237" s="49"/>
    </row>
    <row r="238" spans="1:32" ht="22.5" customHeight="1" x14ac:dyDescent="0.25">
      <c r="A238" s="8">
        <v>237</v>
      </c>
      <c r="B238" s="60">
        <v>46064</v>
      </c>
      <c r="C238" s="27">
        <v>0.33333333333333331</v>
      </c>
      <c r="D238" s="26" t="s">
        <v>601</v>
      </c>
      <c r="E238" s="11" t="s">
        <v>73</v>
      </c>
      <c r="F238" s="26" t="s">
        <v>891</v>
      </c>
      <c r="G238" s="26" t="s">
        <v>28</v>
      </c>
      <c r="H238" s="26" t="s">
        <v>49</v>
      </c>
      <c r="I238" s="26" t="s">
        <v>50</v>
      </c>
      <c r="J238" s="26" t="s">
        <v>214</v>
      </c>
      <c r="K238" s="26" t="s">
        <v>214</v>
      </c>
      <c r="L238" s="26"/>
      <c r="M238" s="26" t="s">
        <v>952</v>
      </c>
      <c r="N238" s="26"/>
      <c r="O238" s="26"/>
      <c r="P238" s="26"/>
      <c r="Q238" s="49" t="s">
        <v>953</v>
      </c>
      <c r="R238" s="44" t="s">
        <v>954</v>
      </c>
      <c r="S238" s="26" t="s">
        <v>28</v>
      </c>
      <c r="T238" s="26" t="s">
        <v>40</v>
      </c>
      <c r="U238" s="26" t="s">
        <v>955</v>
      </c>
      <c r="V238" s="17" t="s">
        <v>40</v>
      </c>
      <c r="W238" s="17" t="s">
        <v>40</v>
      </c>
      <c r="X238" s="49" t="s">
        <v>956</v>
      </c>
      <c r="Y238" s="26" t="s">
        <v>801</v>
      </c>
      <c r="Z238" s="26" t="s">
        <v>123</v>
      </c>
      <c r="AA238" s="26">
        <v>0</v>
      </c>
      <c r="AB238" s="31">
        <v>0</v>
      </c>
      <c r="AC238" s="32">
        <v>44717.22</v>
      </c>
      <c r="AD238" s="12">
        <f t="shared" si="0"/>
        <v>0</v>
      </c>
      <c r="AE238" s="12">
        <f t="shared" si="1"/>
        <v>0</v>
      </c>
      <c r="AF238" s="49"/>
    </row>
    <row r="239" spans="1:32" ht="22.5" customHeight="1" x14ac:dyDescent="0.25">
      <c r="A239" s="8">
        <v>238</v>
      </c>
      <c r="B239" s="60">
        <v>46064</v>
      </c>
      <c r="C239" s="27">
        <v>0.54861111111111116</v>
      </c>
      <c r="D239" s="26" t="s">
        <v>580</v>
      </c>
      <c r="E239" s="11" t="s">
        <v>73</v>
      </c>
      <c r="F239" s="26" t="s">
        <v>581</v>
      </c>
      <c r="G239" s="26" t="s">
        <v>587</v>
      </c>
      <c r="H239" s="26" t="s">
        <v>49</v>
      </c>
      <c r="I239" s="26" t="s">
        <v>50</v>
      </c>
      <c r="J239" s="26" t="s">
        <v>92</v>
      </c>
      <c r="K239" s="26" t="s">
        <v>65</v>
      </c>
      <c r="L239" s="26">
        <v>113</v>
      </c>
      <c r="M239" s="26" t="s">
        <v>957</v>
      </c>
      <c r="N239" s="26"/>
      <c r="O239" s="26"/>
      <c r="P239" s="26"/>
      <c r="Q239" s="49" t="s">
        <v>958</v>
      </c>
      <c r="R239" s="44" t="s">
        <v>959</v>
      </c>
      <c r="S239" s="26" t="s">
        <v>613</v>
      </c>
      <c r="T239" s="26" t="s">
        <v>40</v>
      </c>
      <c r="U239" s="26" t="s">
        <v>960</v>
      </c>
      <c r="V239" s="26" t="s">
        <v>40</v>
      </c>
      <c r="W239" s="26" t="s">
        <v>40</v>
      </c>
      <c r="X239" s="49" t="s">
        <v>961</v>
      </c>
      <c r="Y239" s="26" t="s">
        <v>648</v>
      </c>
      <c r="Z239" s="26" t="s">
        <v>123</v>
      </c>
      <c r="AA239" s="26">
        <v>18</v>
      </c>
      <c r="AB239" s="31">
        <v>0</v>
      </c>
      <c r="AC239" s="32">
        <v>44717.22</v>
      </c>
      <c r="AD239" s="12">
        <f t="shared" si="0"/>
        <v>33537.915000000001</v>
      </c>
      <c r="AE239" s="12">
        <f t="shared" si="1"/>
        <v>0</v>
      </c>
      <c r="AF239" s="49"/>
    </row>
    <row r="240" spans="1:32" ht="22.5" customHeight="1" x14ac:dyDescent="0.25">
      <c r="A240" s="8">
        <v>239</v>
      </c>
      <c r="B240" s="60">
        <v>46064</v>
      </c>
      <c r="C240" s="27">
        <v>0.66666666666666663</v>
      </c>
      <c r="D240" s="26" t="s">
        <v>580</v>
      </c>
      <c r="E240" s="11" t="s">
        <v>73</v>
      </c>
      <c r="F240" s="26" t="s">
        <v>581</v>
      </c>
      <c r="G240" s="26" t="s">
        <v>587</v>
      </c>
      <c r="H240" s="26" t="s">
        <v>49</v>
      </c>
      <c r="I240" s="26" t="s">
        <v>50</v>
      </c>
      <c r="J240" s="26" t="s">
        <v>92</v>
      </c>
      <c r="K240" s="26" t="s">
        <v>65</v>
      </c>
      <c r="L240" s="26">
        <v>114</v>
      </c>
      <c r="M240" s="26" t="s">
        <v>430</v>
      </c>
      <c r="N240" s="26" t="s">
        <v>430</v>
      </c>
      <c r="O240" s="26" t="s">
        <v>962</v>
      </c>
      <c r="P240" s="26" t="s">
        <v>963</v>
      </c>
      <c r="Q240" s="49" t="s">
        <v>964</v>
      </c>
      <c r="R240" s="44" t="s">
        <v>965</v>
      </c>
      <c r="S240" s="26" t="s">
        <v>613</v>
      </c>
      <c r="T240" s="26" t="s">
        <v>40</v>
      </c>
      <c r="U240" s="26" t="s">
        <v>940</v>
      </c>
      <c r="V240" s="26" t="s">
        <v>40</v>
      </c>
      <c r="W240" s="26" t="s">
        <v>80</v>
      </c>
      <c r="X240" s="49"/>
      <c r="Y240" s="26" t="s">
        <v>648</v>
      </c>
      <c r="Z240" s="26" t="s">
        <v>123</v>
      </c>
      <c r="AA240" s="26">
        <v>0</v>
      </c>
      <c r="AB240" s="31">
        <v>0</v>
      </c>
      <c r="AC240" s="32">
        <v>44717.22</v>
      </c>
      <c r="AD240" s="12">
        <f t="shared" si="0"/>
        <v>0</v>
      </c>
      <c r="AE240" s="12">
        <f t="shared" si="1"/>
        <v>0</v>
      </c>
      <c r="AF240" s="49"/>
    </row>
    <row r="241" spans="1:32" ht="22.5" customHeight="1" x14ac:dyDescent="0.25">
      <c r="A241" s="8">
        <v>240</v>
      </c>
      <c r="B241" s="60">
        <v>46064</v>
      </c>
      <c r="C241" s="27">
        <v>0.77083333333333337</v>
      </c>
      <c r="D241" s="26" t="s">
        <v>601</v>
      </c>
      <c r="E241" s="11" t="s">
        <v>73</v>
      </c>
      <c r="F241" s="26" t="s">
        <v>891</v>
      </c>
      <c r="G241" s="26" t="s">
        <v>28</v>
      </c>
      <c r="H241" s="26" t="s">
        <v>49</v>
      </c>
      <c r="I241" s="26" t="s">
        <v>50</v>
      </c>
      <c r="J241" s="26" t="s">
        <v>64</v>
      </c>
      <c r="K241" s="26" t="s">
        <v>65</v>
      </c>
      <c r="L241" s="26">
        <v>115</v>
      </c>
      <c r="M241" s="26" t="s">
        <v>527</v>
      </c>
      <c r="N241" s="26" t="s">
        <v>501</v>
      </c>
      <c r="O241" s="26">
        <v>800</v>
      </c>
      <c r="P241" s="26">
        <v>500</v>
      </c>
      <c r="Q241" s="49" t="s">
        <v>966</v>
      </c>
      <c r="R241" s="44" t="s">
        <v>967</v>
      </c>
      <c r="S241" s="26" t="s">
        <v>28</v>
      </c>
      <c r="T241" s="26" t="s">
        <v>40</v>
      </c>
      <c r="U241" s="26" t="s">
        <v>968</v>
      </c>
      <c r="V241" s="26" t="s">
        <v>40</v>
      </c>
      <c r="W241" s="26" t="s">
        <v>40</v>
      </c>
      <c r="X241" s="49" t="s">
        <v>969</v>
      </c>
      <c r="Y241" s="26" t="s">
        <v>648</v>
      </c>
      <c r="Z241" s="26" t="s">
        <v>59</v>
      </c>
      <c r="AA241" s="11">
        <v>0</v>
      </c>
      <c r="AB241" s="11">
        <v>0</v>
      </c>
      <c r="AC241" s="32">
        <v>44717.22</v>
      </c>
      <c r="AD241" s="12">
        <v>0</v>
      </c>
      <c r="AE241" s="12">
        <v>0</v>
      </c>
      <c r="AF241" s="49"/>
    </row>
    <row r="242" spans="1:32" ht="22.5" customHeight="1" x14ac:dyDescent="0.25">
      <c r="A242" s="8">
        <v>241</v>
      </c>
      <c r="B242" s="60">
        <v>46065</v>
      </c>
      <c r="C242" s="27">
        <v>0.25208333333333333</v>
      </c>
      <c r="D242" s="26" t="s">
        <v>601</v>
      </c>
      <c r="E242" s="11" t="s">
        <v>73</v>
      </c>
      <c r="F242" s="26" t="s">
        <v>891</v>
      </c>
      <c r="G242" s="26" t="s">
        <v>28</v>
      </c>
      <c r="H242" s="26" t="s">
        <v>49</v>
      </c>
      <c r="I242" s="26" t="s">
        <v>50</v>
      </c>
      <c r="J242" s="26" t="s">
        <v>92</v>
      </c>
      <c r="K242" s="26" t="s">
        <v>65</v>
      </c>
      <c r="L242" s="26">
        <v>116</v>
      </c>
      <c r="M242" s="26" t="s">
        <v>970</v>
      </c>
      <c r="N242" s="26" t="s">
        <v>75</v>
      </c>
      <c r="O242" s="26" t="s">
        <v>971</v>
      </c>
      <c r="P242" s="26">
        <v>250</v>
      </c>
      <c r="Q242" s="49" t="s">
        <v>972</v>
      </c>
      <c r="R242" s="44" t="s">
        <v>973</v>
      </c>
      <c r="S242" s="26" t="s">
        <v>28</v>
      </c>
      <c r="T242" s="26" t="s">
        <v>40</v>
      </c>
      <c r="U242" s="26" t="s">
        <v>968</v>
      </c>
      <c r="V242" s="26" t="s">
        <v>40</v>
      </c>
      <c r="W242" s="26" t="s">
        <v>40</v>
      </c>
      <c r="X242" s="49" t="s">
        <v>974</v>
      </c>
      <c r="Y242" s="26" t="s">
        <v>801</v>
      </c>
      <c r="Z242" s="26" t="s">
        <v>59</v>
      </c>
      <c r="AA242" s="26">
        <v>0</v>
      </c>
      <c r="AB242" s="31">
        <v>3.53</v>
      </c>
      <c r="AC242" s="32">
        <v>44717.22</v>
      </c>
      <c r="AD242" s="12">
        <f>AA242/24*AC242</f>
        <v>0</v>
      </c>
      <c r="AE242" s="12">
        <f>AB242/24*AC242</f>
        <v>6577.1577749999997</v>
      </c>
      <c r="AF242" s="49"/>
    </row>
    <row r="243" spans="1:32" ht="22.5" customHeight="1" x14ac:dyDescent="0.25">
      <c r="A243" s="8">
        <v>242</v>
      </c>
      <c r="B243" s="60">
        <v>46065</v>
      </c>
      <c r="C243" s="27">
        <v>0.42708333333333331</v>
      </c>
      <c r="D243" s="26" t="s">
        <v>601</v>
      </c>
      <c r="E243" s="11" t="s">
        <v>73</v>
      </c>
      <c r="F243" s="26" t="s">
        <v>891</v>
      </c>
      <c r="G243" s="26" t="s">
        <v>28</v>
      </c>
      <c r="H243" s="26" t="s">
        <v>49</v>
      </c>
      <c r="I243" s="26" t="s">
        <v>50</v>
      </c>
      <c r="J243" s="26" t="s">
        <v>92</v>
      </c>
      <c r="K243" s="26" t="s">
        <v>65</v>
      </c>
      <c r="L243" s="26">
        <v>116</v>
      </c>
      <c r="M243" s="26" t="s">
        <v>633</v>
      </c>
      <c r="N243" s="26" t="s">
        <v>75</v>
      </c>
      <c r="O243" s="26">
        <v>100</v>
      </c>
      <c r="P243" s="26">
        <v>55</v>
      </c>
      <c r="Q243" s="49" t="s">
        <v>975</v>
      </c>
      <c r="R243" s="44" t="s">
        <v>976</v>
      </c>
      <c r="S243" s="26" t="s">
        <v>28</v>
      </c>
      <c r="T243" s="26" t="s">
        <v>40</v>
      </c>
      <c r="U243" s="26" t="s">
        <v>977</v>
      </c>
      <c r="V243" s="26" t="s">
        <v>40</v>
      </c>
      <c r="W243" s="26" t="s">
        <v>80</v>
      </c>
      <c r="X243" s="49" t="s">
        <v>978</v>
      </c>
      <c r="Y243" s="26" t="s">
        <v>801</v>
      </c>
      <c r="Z243" s="26" t="s">
        <v>123</v>
      </c>
      <c r="AA243" s="26">
        <v>0</v>
      </c>
      <c r="AB243" s="31">
        <v>0</v>
      </c>
      <c r="AC243" s="32">
        <v>44717.22</v>
      </c>
      <c r="AD243" s="12">
        <f>AA243/24*AC243</f>
        <v>0</v>
      </c>
      <c r="AE243" s="12">
        <f>AB243/24*AC243</f>
        <v>0</v>
      </c>
      <c r="AF243" s="49"/>
    </row>
    <row r="244" spans="1:32" ht="22.5" customHeight="1" x14ac:dyDescent="0.25">
      <c r="A244" s="8">
        <v>243</v>
      </c>
      <c r="B244" s="60">
        <v>46065</v>
      </c>
      <c r="C244" s="27">
        <v>0.49861111111111112</v>
      </c>
      <c r="D244" s="26" t="s">
        <v>601</v>
      </c>
      <c r="E244" s="11" t="s">
        <v>73</v>
      </c>
      <c r="F244" s="26" t="s">
        <v>891</v>
      </c>
      <c r="G244" s="26" t="s">
        <v>28</v>
      </c>
      <c r="H244" s="26" t="s">
        <v>49</v>
      </c>
      <c r="I244" s="26" t="s">
        <v>50</v>
      </c>
      <c r="J244" s="26" t="s">
        <v>31</v>
      </c>
      <c r="K244" s="26" t="s">
        <v>32</v>
      </c>
      <c r="L244" s="26">
        <v>117</v>
      </c>
      <c r="M244" s="26" t="s">
        <v>170</v>
      </c>
      <c r="N244" s="26" t="s">
        <v>75</v>
      </c>
      <c r="O244" s="26">
        <v>100</v>
      </c>
      <c r="P244" s="26">
        <v>55</v>
      </c>
      <c r="Q244" s="49" t="s">
        <v>979</v>
      </c>
      <c r="R244" s="44" t="s">
        <v>980</v>
      </c>
      <c r="S244" s="26" t="s">
        <v>28</v>
      </c>
      <c r="T244" s="26" t="s">
        <v>40</v>
      </c>
      <c r="U244" s="26" t="s">
        <v>981</v>
      </c>
      <c r="V244" s="26" t="s">
        <v>40</v>
      </c>
      <c r="W244" s="26" t="s">
        <v>80</v>
      </c>
      <c r="X244" s="49" t="s">
        <v>982</v>
      </c>
      <c r="Y244" s="26" t="s">
        <v>801</v>
      </c>
      <c r="Z244" s="26" t="s">
        <v>123</v>
      </c>
      <c r="AA244" s="26">
        <v>0</v>
      </c>
      <c r="AB244" s="31">
        <v>0</v>
      </c>
      <c r="AC244" s="32">
        <v>44717.22</v>
      </c>
      <c r="AD244" s="12">
        <v>0</v>
      </c>
      <c r="AE244" s="12">
        <v>0</v>
      </c>
      <c r="AF244" s="49"/>
    </row>
    <row r="245" spans="1:32" ht="22.5" customHeight="1" x14ac:dyDescent="0.25">
      <c r="A245" s="8">
        <v>244</v>
      </c>
      <c r="B245" s="60">
        <v>46065</v>
      </c>
      <c r="C245" s="27">
        <v>0.81874999999999998</v>
      </c>
      <c r="D245" s="26" t="s">
        <v>601</v>
      </c>
      <c r="E245" s="11" t="s">
        <v>73</v>
      </c>
      <c r="F245" s="26" t="s">
        <v>891</v>
      </c>
      <c r="G245" s="26" t="s">
        <v>28</v>
      </c>
      <c r="H245" s="26" t="s">
        <v>49</v>
      </c>
      <c r="I245" s="26" t="s">
        <v>50</v>
      </c>
      <c r="J245" s="26" t="s">
        <v>110</v>
      </c>
      <c r="K245" s="26" t="s">
        <v>65</v>
      </c>
      <c r="L245" s="26">
        <v>118</v>
      </c>
      <c r="M245" s="26" t="s">
        <v>983</v>
      </c>
      <c r="N245" s="26" t="s">
        <v>984</v>
      </c>
      <c r="O245" s="26"/>
      <c r="P245" s="26"/>
      <c r="Q245" s="49" t="s">
        <v>985</v>
      </c>
      <c r="R245" s="44" t="s">
        <v>986</v>
      </c>
      <c r="S245" s="26" t="s">
        <v>28</v>
      </c>
      <c r="T245" s="26" t="s">
        <v>40</v>
      </c>
      <c r="U245" s="26" t="s">
        <v>940</v>
      </c>
      <c r="V245" s="26" t="s">
        <v>40</v>
      </c>
      <c r="W245" s="26" t="s">
        <v>987</v>
      </c>
      <c r="X245" s="49" t="s">
        <v>961</v>
      </c>
      <c r="Y245" s="26" t="s">
        <v>648</v>
      </c>
      <c r="Z245" s="26" t="s">
        <v>59</v>
      </c>
      <c r="AA245" s="26">
        <v>0</v>
      </c>
      <c r="AB245" s="31">
        <v>1</v>
      </c>
      <c r="AC245" s="32">
        <v>44717.22</v>
      </c>
      <c r="AD245" s="12">
        <v>0</v>
      </c>
      <c r="AE245" s="12">
        <v>0</v>
      </c>
      <c r="AF245" s="49"/>
    </row>
    <row r="246" spans="1:32" ht="22.5" customHeight="1" x14ac:dyDescent="0.25">
      <c r="A246" s="8">
        <v>245</v>
      </c>
      <c r="B246" s="60">
        <v>46065</v>
      </c>
      <c r="C246" s="27">
        <v>0.91666666666666663</v>
      </c>
      <c r="D246" s="26" t="s">
        <v>747</v>
      </c>
      <c r="E246" s="11" t="s">
        <v>73</v>
      </c>
      <c r="F246" s="26" t="s">
        <v>748</v>
      </c>
      <c r="G246" s="26" t="s">
        <v>587</v>
      </c>
      <c r="H246" s="26" t="s">
        <v>49</v>
      </c>
      <c r="I246" s="26" t="s">
        <v>50</v>
      </c>
      <c r="J246" s="26" t="s">
        <v>92</v>
      </c>
      <c r="K246" s="26" t="s">
        <v>32</v>
      </c>
      <c r="L246" s="26">
        <v>119</v>
      </c>
      <c r="M246" s="26" t="s">
        <v>430</v>
      </c>
      <c r="N246" s="26" t="s">
        <v>984</v>
      </c>
      <c r="O246" s="26">
        <v>20</v>
      </c>
      <c r="P246" s="26">
        <v>12</v>
      </c>
      <c r="Q246" s="49" t="s">
        <v>988</v>
      </c>
      <c r="R246" s="44" t="s">
        <v>989</v>
      </c>
      <c r="S246" s="26" t="s">
        <v>613</v>
      </c>
      <c r="T246" s="26" t="s">
        <v>40</v>
      </c>
      <c r="U246" s="26" t="s">
        <v>990</v>
      </c>
      <c r="V246" s="26" t="s">
        <v>80</v>
      </c>
      <c r="W246" s="26" t="s">
        <v>80</v>
      </c>
      <c r="X246" s="49" t="s">
        <v>991</v>
      </c>
      <c r="Y246" s="26" t="s">
        <v>648</v>
      </c>
      <c r="Z246" s="26" t="s">
        <v>59</v>
      </c>
      <c r="AA246" s="26">
        <v>0</v>
      </c>
      <c r="AB246" s="31">
        <v>4</v>
      </c>
      <c r="AC246" s="32">
        <v>44717.22</v>
      </c>
      <c r="AD246" s="12">
        <f t="shared" ref="AD246:AD252" si="2">AA246/24*AC246</f>
        <v>0</v>
      </c>
      <c r="AE246" s="12">
        <f t="shared" ref="AE246:AE252" si="3">AB246/24*AC246</f>
        <v>7452.87</v>
      </c>
      <c r="AF246" s="49"/>
    </row>
    <row r="247" spans="1:32" ht="22.5" customHeight="1" x14ac:dyDescent="0.25">
      <c r="A247" s="8">
        <v>246</v>
      </c>
      <c r="B247" s="60">
        <v>46066</v>
      </c>
      <c r="C247" s="27">
        <v>0.30972222222222223</v>
      </c>
      <c r="D247" s="26" t="s">
        <v>616</v>
      </c>
      <c r="E247" s="11" t="s">
        <v>73</v>
      </c>
      <c r="F247" s="26" t="s">
        <v>617</v>
      </c>
      <c r="G247" s="26" t="s">
        <v>163</v>
      </c>
      <c r="H247" s="26" t="s">
        <v>49</v>
      </c>
      <c r="I247" s="26" t="s">
        <v>50</v>
      </c>
      <c r="J247" s="26" t="s">
        <v>92</v>
      </c>
      <c r="K247" s="26" t="s">
        <v>65</v>
      </c>
      <c r="L247" s="26">
        <v>120</v>
      </c>
      <c r="M247" s="26" t="s">
        <v>430</v>
      </c>
      <c r="N247" s="26" t="s">
        <v>430</v>
      </c>
      <c r="O247" s="26">
        <v>20</v>
      </c>
      <c r="P247" s="26">
        <v>8</v>
      </c>
      <c r="Q247" s="49" t="s">
        <v>992</v>
      </c>
      <c r="R247" s="44" t="s">
        <v>993</v>
      </c>
      <c r="S247" s="26" t="s">
        <v>163</v>
      </c>
      <c r="T247" s="26" t="s">
        <v>80</v>
      </c>
      <c r="U247" s="26" t="s">
        <v>994</v>
      </c>
      <c r="V247" s="26" t="s">
        <v>80</v>
      </c>
      <c r="W247" s="26" t="s">
        <v>80</v>
      </c>
      <c r="X247" s="49" t="s">
        <v>262</v>
      </c>
      <c r="Y247" s="26" t="s">
        <v>801</v>
      </c>
      <c r="Z247" s="26" t="s">
        <v>123</v>
      </c>
      <c r="AA247" s="26">
        <v>0</v>
      </c>
      <c r="AB247" s="31">
        <v>0</v>
      </c>
      <c r="AC247" s="32">
        <v>44717.22</v>
      </c>
      <c r="AD247" s="12">
        <f t="shared" si="2"/>
        <v>0</v>
      </c>
      <c r="AE247" s="12">
        <f t="shared" si="3"/>
        <v>0</v>
      </c>
      <c r="AF247" s="49"/>
    </row>
    <row r="248" spans="1:32" ht="22.5" customHeight="1" x14ac:dyDescent="0.25">
      <c r="A248" s="8">
        <v>247</v>
      </c>
      <c r="B248" s="60">
        <v>46066</v>
      </c>
      <c r="C248" s="27">
        <v>0.72569444444444442</v>
      </c>
      <c r="D248" s="26" t="s">
        <v>601</v>
      </c>
      <c r="E248" s="11" t="s">
        <v>73</v>
      </c>
      <c r="F248" s="26" t="s">
        <v>891</v>
      </c>
      <c r="G248" s="26" t="s">
        <v>28</v>
      </c>
      <c r="H248" s="26" t="s">
        <v>49</v>
      </c>
      <c r="I248" s="26" t="s">
        <v>50</v>
      </c>
      <c r="J248" s="26" t="s">
        <v>214</v>
      </c>
      <c r="K248" s="26" t="s">
        <v>214</v>
      </c>
      <c r="L248" s="26">
        <v>121</v>
      </c>
      <c r="M248" s="26" t="s">
        <v>952</v>
      </c>
      <c r="N248" s="26"/>
      <c r="O248" s="26"/>
      <c r="P248" s="26"/>
      <c r="Q248" s="49" t="s">
        <v>995</v>
      </c>
      <c r="R248" s="44" t="s">
        <v>996</v>
      </c>
      <c r="S248" s="26" t="s">
        <v>28</v>
      </c>
      <c r="T248" s="26" t="s">
        <v>40</v>
      </c>
      <c r="U248" s="26" t="s">
        <v>997</v>
      </c>
      <c r="V248" s="17" t="s">
        <v>40</v>
      </c>
      <c r="W248" s="17" t="s">
        <v>40</v>
      </c>
      <c r="X248" s="49" t="s">
        <v>262</v>
      </c>
      <c r="Y248" s="26" t="s">
        <v>648</v>
      </c>
      <c r="Z248" s="26" t="s">
        <v>123</v>
      </c>
      <c r="AA248" s="26">
        <v>0</v>
      </c>
      <c r="AB248" s="31">
        <v>0</v>
      </c>
      <c r="AC248" s="32">
        <v>44717.22</v>
      </c>
      <c r="AD248" s="12">
        <f t="shared" si="2"/>
        <v>0</v>
      </c>
      <c r="AE248" s="12">
        <f t="shared" si="3"/>
        <v>0</v>
      </c>
      <c r="AF248" s="49"/>
    </row>
    <row r="249" spans="1:32" ht="22.5" customHeight="1" x14ac:dyDescent="0.25">
      <c r="A249" s="8">
        <v>248</v>
      </c>
      <c r="B249" s="60">
        <v>46066</v>
      </c>
      <c r="C249" s="27">
        <v>0.73402777777777772</v>
      </c>
      <c r="D249" s="26" t="s">
        <v>601</v>
      </c>
      <c r="E249" s="11" t="s">
        <v>73</v>
      </c>
      <c r="F249" s="26" t="s">
        <v>891</v>
      </c>
      <c r="G249" s="26" t="s">
        <v>28</v>
      </c>
      <c r="H249" s="26" t="s">
        <v>49</v>
      </c>
      <c r="I249" s="26" t="s">
        <v>50</v>
      </c>
      <c r="J249" s="26" t="s">
        <v>214</v>
      </c>
      <c r="K249" s="26" t="s">
        <v>214</v>
      </c>
      <c r="L249" s="26">
        <v>122</v>
      </c>
      <c r="M249" s="26" t="s">
        <v>952</v>
      </c>
      <c r="N249" s="26"/>
      <c r="O249" s="26"/>
      <c r="P249" s="26"/>
      <c r="Q249" s="49" t="s">
        <v>998</v>
      </c>
      <c r="R249" s="44" t="s">
        <v>996</v>
      </c>
      <c r="S249" s="26" t="s">
        <v>28</v>
      </c>
      <c r="T249" s="26" t="s">
        <v>40</v>
      </c>
      <c r="U249" s="26" t="s">
        <v>997</v>
      </c>
      <c r="V249" s="17" t="s">
        <v>40</v>
      </c>
      <c r="W249" s="17" t="s">
        <v>40</v>
      </c>
      <c r="X249" s="49" t="s">
        <v>262</v>
      </c>
      <c r="Y249" s="26" t="s">
        <v>648</v>
      </c>
      <c r="Z249" s="26" t="s">
        <v>123</v>
      </c>
      <c r="AA249" s="26">
        <v>0</v>
      </c>
      <c r="AB249" s="31">
        <v>0</v>
      </c>
      <c r="AC249" s="32">
        <v>44717.22</v>
      </c>
      <c r="AD249" s="12">
        <f t="shared" si="2"/>
        <v>0</v>
      </c>
      <c r="AE249" s="12">
        <f t="shared" si="3"/>
        <v>0</v>
      </c>
      <c r="AF249" s="49"/>
    </row>
    <row r="250" spans="1:32" ht="22.5" customHeight="1" x14ac:dyDescent="0.25">
      <c r="A250" s="8">
        <v>249</v>
      </c>
      <c r="B250" s="60">
        <v>46066</v>
      </c>
      <c r="C250" s="27">
        <v>0.91666666666666663</v>
      </c>
      <c r="D250" s="26" t="s">
        <v>601</v>
      </c>
      <c r="E250" s="11" t="s">
        <v>73</v>
      </c>
      <c r="F250" s="26" t="s">
        <v>891</v>
      </c>
      <c r="G250" s="26" t="s">
        <v>28</v>
      </c>
      <c r="H250" s="26" t="s">
        <v>49</v>
      </c>
      <c r="I250" s="26" t="s">
        <v>50</v>
      </c>
      <c r="J250" s="26" t="s">
        <v>214</v>
      </c>
      <c r="K250" s="26" t="s">
        <v>214</v>
      </c>
      <c r="L250" s="26">
        <v>123</v>
      </c>
      <c r="M250" s="26" t="s">
        <v>952</v>
      </c>
      <c r="N250" s="26"/>
      <c r="O250" s="26"/>
      <c r="P250" s="26"/>
      <c r="Q250" s="49" t="s">
        <v>999</v>
      </c>
      <c r="R250" s="44" t="s">
        <v>996</v>
      </c>
      <c r="S250" s="26" t="s">
        <v>63</v>
      </c>
      <c r="T250" s="26" t="s">
        <v>40</v>
      </c>
      <c r="U250" s="26" t="s">
        <v>997</v>
      </c>
      <c r="V250" s="17" t="s">
        <v>40</v>
      </c>
      <c r="W250" s="17" t="s">
        <v>40</v>
      </c>
      <c r="X250" s="49"/>
      <c r="Y250" s="26" t="s">
        <v>648</v>
      </c>
      <c r="Z250" s="26" t="s">
        <v>59</v>
      </c>
      <c r="AA250" s="26">
        <v>0</v>
      </c>
      <c r="AB250" s="31">
        <v>1</v>
      </c>
      <c r="AC250" s="32">
        <v>44717.22</v>
      </c>
      <c r="AD250" s="12">
        <f t="shared" si="2"/>
        <v>0</v>
      </c>
      <c r="AE250" s="12">
        <f t="shared" si="3"/>
        <v>1863.2175</v>
      </c>
      <c r="AF250" s="49"/>
    </row>
    <row r="251" spans="1:32" ht="22.5" customHeight="1" x14ac:dyDescent="0.25">
      <c r="A251" s="8">
        <v>250</v>
      </c>
      <c r="B251" s="60">
        <v>46066</v>
      </c>
      <c r="C251" s="27">
        <v>0.95833333333333337</v>
      </c>
      <c r="D251" s="26" t="s">
        <v>601</v>
      </c>
      <c r="E251" s="11" t="s">
        <v>73</v>
      </c>
      <c r="F251" s="26" t="s">
        <v>891</v>
      </c>
      <c r="G251" s="26" t="s">
        <v>28</v>
      </c>
      <c r="H251" s="26" t="s">
        <v>49</v>
      </c>
      <c r="I251" s="26" t="s">
        <v>50</v>
      </c>
      <c r="J251" s="26" t="s">
        <v>214</v>
      </c>
      <c r="K251" s="26" t="s">
        <v>214</v>
      </c>
      <c r="L251" s="26">
        <v>124</v>
      </c>
      <c r="M251" s="26" t="s">
        <v>952</v>
      </c>
      <c r="N251" s="26"/>
      <c r="O251" s="26"/>
      <c r="P251" s="26"/>
      <c r="Q251" s="49" t="s">
        <v>1000</v>
      </c>
      <c r="R251" s="44" t="s">
        <v>996</v>
      </c>
      <c r="S251" s="26" t="s">
        <v>28</v>
      </c>
      <c r="T251" s="26" t="s">
        <v>40</v>
      </c>
      <c r="U251" s="26" t="s">
        <v>997</v>
      </c>
      <c r="V251" s="17" t="s">
        <v>40</v>
      </c>
      <c r="W251" s="17" t="s">
        <v>40</v>
      </c>
      <c r="X251" s="49"/>
      <c r="Y251" s="26" t="s">
        <v>648</v>
      </c>
      <c r="Z251" s="26" t="s">
        <v>59</v>
      </c>
      <c r="AA251" s="26">
        <v>0</v>
      </c>
      <c r="AB251" s="31">
        <v>1</v>
      </c>
      <c r="AC251" s="32">
        <v>44717.22</v>
      </c>
      <c r="AD251" s="12">
        <f t="shared" si="2"/>
        <v>0</v>
      </c>
      <c r="AE251" s="12">
        <f t="shared" si="3"/>
        <v>1863.2175</v>
      </c>
      <c r="AF251" s="49"/>
    </row>
    <row r="252" spans="1:32" ht="22.5" customHeight="1" x14ac:dyDescent="0.25">
      <c r="A252" s="8">
        <v>251</v>
      </c>
      <c r="B252" s="60">
        <v>46067</v>
      </c>
      <c r="C252" s="27">
        <v>0.45833333333333331</v>
      </c>
      <c r="D252" s="26" t="s">
        <v>601</v>
      </c>
      <c r="E252" s="11" t="s">
        <v>73</v>
      </c>
      <c r="F252" s="26" t="s">
        <v>891</v>
      </c>
      <c r="G252" s="26" t="s">
        <v>28</v>
      </c>
      <c r="H252" s="26" t="s">
        <v>49</v>
      </c>
      <c r="I252" s="26" t="s">
        <v>50</v>
      </c>
      <c r="J252" s="26" t="s">
        <v>214</v>
      </c>
      <c r="K252" s="26" t="s">
        <v>214</v>
      </c>
      <c r="L252" s="26">
        <v>123</v>
      </c>
      <c r="M252" s="26" t="s">
        <v>952</v>
      </c>
      <c r="N252" s="26"/>
      <c r="O252" s="26"/>
      <c r="P252" s="26"/>
      <c r="Q252" s="49" t="s">
        <v>1001</v>
      </c>
      <c r="R252" s="44" t="s">
        <v>996</v>
      </c>
      <c r="S252" s="26" t="s">
        <v>63</v>
      </c>
      <c r="T252" s="26" t="s">
        <v>40</v>
      </c>
      <c r="U252" s="26" t="s">
        <v>997</v>
      </c>
      <c r="V252" s="17" t="s">
        <v>40</v>
      </c>
      <c r="W252" s="17" t="s">
        <v>40</v>
      </c>
      <c r="X252" s="49" t="s">
        <v>1002</v>
      </c>
      <c r="Y252" s="26" t="s">
        <v>801</v>
      </c>
      <c r="Z252" s="26" t="s">
        <v>123</v>
      </c>
      <c r="AA252" s="26">
        <v>0</v>
      </c>
      <c r="AB252" s="31">
        <v>0</v>
      </c>
      <c r="AC252" s="32">
        <v>44717.22</v>
      </c>
      <c r="AD252" s="12">
        <f t="shared" si="2"/>
        <v>0</v>
      </c>
      <c r="AE252" s="12">
        <f t="shared" si="3"/>
        <v>0</v>
      </c>
      <c r="AF252" s="49"/>
    </row>
    <row r="253" spans="1:32" ht="22.5" customHeight="1" x14ac:dyDescent="0.25">
      <c r="A253" s="8">
        <v>252</v>
      </c>
      <c r="B253" s="60">
        <v>46068</v>
      </c>
      <c r="C253" s="27">
        <v>0.70138888888888884</v>
      </c>
      <c r="D253" s="26" t="s">
        <v>580</v>
      </c>
      <c r="E253" s="11" t="s">
        <v>73</v>
      </c>
      <c r="F253" s="26" t="s">
        <v>581</v>
      </c>
      <c r="G253" s="26" t="s">
        <v>587</v>
      </c>
      <c r="H253" s="26" t="s">
        <v>49</v>
      </c>
      <c r="I253" s="26" t="s">
        <v>50</v>
      </c>
      <c r="J253" s="26" t="s">
        <v>110</v>
      </c>
      <c r="K253" s="26" t="s">
        <v>65</v>
      </c>
      <c r="L253" s="26">
        <v>124</v>
      </c>
      <c r="M253" s="26" t="s">
        <v>51</v>
      </c>
      <c r="N253" s="26" t="s">
        <v>34</v>
      </c>
      <c r="O253" s="26">
        <v>300</v>
      </c>
      <c r="P253" s="26">
        <v>320</v>
      </c>
      <c r="Q253" s="49" t="s">
        <v>1003</v>
      </c>
      <c r="R253" s="44" t="s">
        <v>1004</v>
      </c>
      <c r="S253" s="26" t="s">
        <v>613</v>
      </c>
      <c r="T253" s="26" t="s">
        <v>40</v>
      </c>
      <c r="U253" s="26" t="s">
        <v>1005</v>
      </c>
      <c r="V253" s="26" t="s">
        <v>40</v>
      </c>
      <c r="W253" s="26" t="s">
        <v>40</v>
      </c>
      <c r="X253" s="49" t="s">
        <v>1006</v>
      </c>
      <c r="Y253" s="26" t="s">
        <v>648</v>
      </c>
      <c r="Z253" s="26" t="s">
        <v>123</v>
      </c>
      <c r="AA253" s="26">
        <v>0</v>
      </c>
      <c r="AB253" s="31">
        <v>5</v>
      </c>
      <c r="AC253" s="32">
        <v>44717.22</v>
      </c>
      <c r="AD253" s="12">
        <v>0</v>
      </c>
      <c r="AE253" s="12">
        <v>0</v>
      </c>
      <c r="AF253" s="49"/>
    </row>
    <row r="254" spans="1:32" ht="22.5" customHeight="1" x14ac:dyDescent="0.25">
      <c r="A254" s="8">
        <v>253</v>
      </c>
      <c r="B254" s="60">
        <v>46068</v>
      </c>
      <c r="C254" s="27">
        <v>0.37916666666666665</v>
      </c>
      <c r="D254" s="26" t="s">
        <v>601</v>
      </c>
      <c r="E254" s="11" t="s">
        <v>73</v>
      </c>
      <c r="F254" s="26" t="s">
        <v>891</v>
      </c>
      <c r="G254" s="26" t="s">
        <v>28</v>
      </c>
      <c r="H254" s="26" t="s">
        <v>49</v>
      </c>
      <c r="I254" s="26" t="s">
        <v>50</v>
      </c>
      <c r="J254" s="26" t="s">
        <v>92</v>
      </c>
      <c r="K254" s="26" t="s">
        <v>65</v>
      </c>
      <c r="L254" s="26">
        <v>125</v>
      </c>
      <c r="M254" s="26" t="s">
        <v>1007</v>
      </c>
      <c r="N254" s="26" t="s">
        <v>1008</v>
      </c>
      <c r="O254" s="26">
        <v>8</v>
      </c>
      <c r="P254" s="26">
        <v>10</v>
      </c>
      <c r="Q254" s="49" t="s">
        <v>1009</v>
      </c>
      <c r="R254" s="44" t="s">
        <v>1010</v>
      </c>
      <c r="S254" s="26" t="s">
        <v>28</v>
      </c>
      <c r="T254" s="26" t="s">
        <v>40</v>
      </c>
      <c r="U254" s="26" t="s">
        <v>1005</v>
      </c>
      <c r="V254" s="26" t="s">
        <v>80</v>
      </c>
      <c r="W254" s="26" t="s">
        <v>80</v>
      </c>
      <c r="X254" s="49" t="s">
        <v>1011</v>
      </c>
      <c r="Y254" s="26" t="s">
        <v>801</v>
      </c>
      <c r="Z254" s="26" t="s">
        <v>123</v>
      </c>
      <c r="AA254" s="26">
        <v>0</v>
      </c>
      <c r="AB254" s="31">
        <v>0</v>
      </c>
      <c r="AC254" s="32">
        <v>44717.22</v>
      </c>
      <c r="AD254" s="12">
        <f>AA254/24*AC254</f>
        <v>0</v>
      </c>
      <c r="AE254" s="12">
        <f>AB254/24*AC254</f>
        <v>0</v>
      </c>
      <c r="AF254" s="49"/>
    </row>
    <row r="255" spans="1:32" ht="22.5" customHeight="1" x14ac:dyDescent="0.25">
      <c r="A255" s="8">
        <v>254</v>
      </c>
      <c r="B255" s="60">
        <v>46069</v>
      </c>
      <c r="C255" s="27">
        <v>0.54236111111111107</v>
      </c>
      <c r="D255" s="26" t="s">
        <v>601</v>
      </c>
      <c r="E255" s="11" t="s">
        <v>73</v>
      </c>
      <c r="F255" s="26" t="s">
        <v>891</v>
      </c>
      <c r="G255" s="26" t="s">
        <v>28</v>
      </c>
      <c r="H255" s="26" t="s">
        <v>49</v>
      </c>
      <c r="I255" s="26" t="s">
        <v>50</v>
      </c>
      <c r="J255" s="26" t="s">
        <v>92</v>
      </c>
      <c r="K255" s="26" t="s">
        <v>65</v>
      </c>
      <c r="L255" s="26">
        <v>125</v>
      </c>
      <c r="M255" s="26" t="s">
        <v>1007</v>
      </c>
      <c r="N255" s="26" t="s">
        <v>1012</v>
      </c>
      <c r="O255" s="26">
        <v>17</v>
      </c>
      <c r="P255" s="26">
        <v>20</v>
      </c>
      <c r="Q255" s="49" t="s">
        <v>1013</v>
      </c>
      <c r="R255" s="44" t="s">
        <v>1014</v>
      </c>
      <c r="S255" s="26" t="s">
        <v>28</v>
      </c>
      <c r="T255" s="26" t="s">
        <v>40</v>
      </c>
      <c r="U255" s="26" t="s">
        <v>1005</v>
      </c>
      <c r="V255" s="26" t="s">
        <v>80</v>
      </c>
      <c r="W255" s="26" t="s">
        <v>80</v>
      </c>
      <c r="X255" s="49" t="s">
        <v>1011</v>
      </c>
      <c r="Y255" s="26" t="s">
        <v>801</v>
      </c>
      <c r="Z255" s="26" t="s">
        <v>123</v>
      </c>
      <c r="AA255" s="26">
        <v>0</v>
      </c>
      <c r="AB255" s="31">
        <v>0</v>
      </c>
      <c r="AC255" s="32">
        <v>44717.22</v>
      </c>
      <c r="AD255" s="12">
        <f>AA255/24*AC255</f>
        <v>0</v>
      </c>
      <c r="AE255" s="12">
        <f>AB255/24*AC255</f>
        <v>0</v>
      </c>
      <c r="AF255" s="49"/>
    </row>
    <row r="256" spans="1:32" ht="41.25" customHeight="1" x14ac:dyDescent="0.25">
      <c r="A256" s="8">
        <v>255</v>
      </c>
      <c r="B256" s="60">
        <v>46070</v>
      </c>
      <c r="C256" s="27">
        <v>0.875</v>
      </c>
      <c r="D256" s="26" t="s">
        <v>601</v>
      </c>
      <c r="E256" s="11" t="s">
        <v>73</v>
      </c>
      <c r="F256" s="26" t="s">
        <v>891</v>
      </c>
      <c r="G256" s="26" t="s">
        <v>63</v>
      </c>
      <c r="H256" s="26" t="s">
        <v>49</v>
      </c>
      <c r="I256" s="26" t="s">
        <v>50</v>
      </c>
      <c r="J256" s="26" t="s">
        <v>92</v>
      </c>
      <c r="K256" s="26" t="s">
        <v>65</v>
      </c>
      <c r="L256" s="26">
        <v>125</v>
      </c>
      <c r="M256" s="26" t="s">
        <v>1007</v>
      </c>
      <c r="N256" s="26" t="s">
        <v>75</v>
      </c>
      <c r="O256" s="26"/>
      <c r="P256" s="26"/>
      <c r="Q256" s="49" t="s">
        <v>1015</v>
      </c>
      <c r="R256" s="44" t="s">
        <v>1015</v>
      </c>
      <c r="S256" s="26" t="s">
        <v>63</v>
      </c>
      <c r="T256" s="26" t="s">
        <v>40</v>
      </c>
      <c r="U256" s="26" t="s">
        <v>1005</v>
      </c>
      <c r="V256" s="26" t="s">
        <v>40</v>
      </c>
      <c r="W256" s="26" t="s">
        <v>40</v>
      </c>
      <c r="X256" s="49"/>
      <c r="Y256" s="26" t="s">
        <v>801</v>
      </c>
      <c r="Z256" s="26" t="s">
        <v>59</v>
      </c>
      <c r="AA256" s="26">
        <v>1</v>
      </c>
      <c r="AB256" s="31">
        <v>0</v>
      </c>
      <c r="AC256" s="32">
        <v>44717.22</v>
      </c>
      <c r="AD256" s="12">
        <f>AA256/24*AC256</f>
        <v>1863.2175</v>
      </c>
      <c r="AE256" s="12">
        <f>AB256/24*AC256</f>
        <v>0</v>
      </c>
      <c r="AF256" s="49"/>
    </row>
    <row r="257" spans="1:32" ht="22.5" customHeight="1" x14ac:dyDescent="0.25">
      <c r="A257" s="8">
        <v>256</v>
      </c>
      <c r="B257" s="60">
        <v>46070</v>
      </c>
      <c r="C257" s="27">
        <v>0.3923611111111111</v>
      </c>
      <c r="D257" s="26" t="s">
        <v>601</v>
      </c>
      <c r="E257" s="11" t="s">
        <v>73</v>
      </c>
      <c r="F257" s="26" t="s">
        <v>891</v>
      </c>
      <c r="G257" s="26" t="s">
        <v>63</v>
      </c>
      <c r="H257" s="26" t="s">
        <v>49</v>
      </c>
      <c r="I257" s="26" t="s">
        <v>50</v>
      </c>
      <c r="J257" s="26" t="s">
        <v>214</v>
      </c>
      <c r="K257" s="26" t="s">
        <v>65</v>
      </c>
      <c r="L257" s="26">
        <v>125</v>
      </c>
      <c r="M257" s="26" t="s">
        <v>1016</v>
      </c>
      <c r="N257" s="26" t="s">
        <v>75</v>
      </c>
      <c r="O257" s="26">
        <v>65</v>
      </c>
      <c r="P257" s="26" t="s">
        <v>991</v>
      </c>
      <c r="Q257" s="49" t="s">
        <v>1017</v>
      </c>
      <c r="R257" s="44" t="s">
        <v>1018</v>
      </c>
      <c r="S257" s="26" t="s">
        <v>63</v>
      </c>
      <c r="T257" s="26" t="s">
        <v>40</v>
      </c>
      <c r="U257" s="26" t="s">
        <v>1019</v>
      </c>
      <c r="V257" s="17" t="s">
        <v>40</v>
      </c>
      <c r="W257" s="17" t="s">
        <v>40</v>
      </c>
      <c r="X257" s="49" t="s">
        <v>1020</v>
      </c>
      <c r="Y257" s="26" t="s">
        <v>648</v>
      </c>
      <c r="Z257" s="26" t="s">
        <v>123</v>
      </c>
      <c r="AA257" s="26">
        <v>0</v>
      </c>
      <c r="AB257" s="31">
        <v>0</v>
      </c>
      <c r="AC257" s="32">
        <v>44717.22</v>
      </c>
      <c r="AD257" s="12">
        <f t="shared" ref="AD257:AD286" si="4">AA257/24*AC257</f>
        <v>0</v>
      </c>
      <c r="AE257" s="12">
        <f t="shared" ref="AE257:AE287" si="5">AB257/24*AC257</f>
        <v>0</v>
      </c>
      <c r="AF257" s="49"/>
    </row>
    <row r="258" spans="1:32" ht="22.5" customHeight="1" x14ac:dyDescent="0.25">
      <c r="A258" s="8">
        <v>257</v>
      </c>
      <c r="B258" s="60">
        <v>46070</v>
      </c>
      <c r="C258" s="27">
        <v>0.53611111111111109</v>
      </c>
      <c r="D258" s="26" t="s">
        <v>601</v>
      </c>
      <c r="E258" s="11" t="s">
        <v>73</v>
      </c>
      <c r="F258" s="26" t="s">
        <v>891</v>
      </c>
      <c r="G258" s="26" t="s">
        <v>63</v>
      </c>
      <c r="H258" s="26" t="s">
        <v>49</v>
      </c>
      <c r="I258" s="26" t="s">
        <v>50</v>
      </c>
      <c r="J258" s="26" t="s">
        <v>92</v>
      </c>
      <c r="K258" s="26" t="s">
        <v>65</v>
      </c>
      <c r="L258" s="26">
        <v>125</v>
      </c>
      <c r="M258" s="26" t="s">
        <v>568</v>
      </c>
      <c r="N258" s="26" t="s">
        <v>430</v>
      </c>
      <c r="O258" s="26">
        <v>20</v>
      </c>
      <c r="P258" s="26">
        <v>19</v>
      </c>
      <c r="Q258" s="49" t="s">
        <v>1021</v>
      </c>
      <c r="R258" s="44" t="s">
        <v>1022</v>
      </c>
      <c r="S258" s="26" t="s">
        <v>63</v>
      </c>
      <c r="T258" s="26" t="s">
        <v>40</v>
      </c>
      <c r="U258" s="26" t="s">
        <v>1022</v>
      </c>
      <c r="V258" s="26" t="s">
        <v>80</v>
      </c>
      <c r="W258" s="26" t="s">
        <v>80</v>
      </c>
      <c r="X258" s="49"/>
      <c r="Y258" s="26" t="s">
        <v>648</v>
      </c>
      <c r="Z258" s="26" t="s">
        <v>123</v>
      </c>
      <c r="AA258" s="26">
        <v>0</v>
      </c>
      <c r="AB258" s="31">
        <v>0</v>
      </c>
      <c r="AC258" s="32">
        <v>44717.22</v>
      </c>
      <c r="AD258" s="12">
        <f t="shared" si="4"/>
        <v>0</v>
      </c>
      <c r="AE258" s="12">
        <f t="shared" si="5"/>
        <v>0</v>
      </c>
      <c r="AF258" s="49"/>
    </row>
    <row r="259" spans="1:32" ht="22.5" customHeight="1" x14ac:dyDescent="0.25">
      <c r="A259" s="8">
        <v>258</v>
      </c>
      <c r="B259" s="60">
        <v>46071</v>
      </c>
      <c r="C259" s="27">
        <v>6.25E-2</v>
      </c>
      <c r="D259" s="26" t="s">
        <v>616</v>
      </c>
      <c r="E259" s="11" t="s">
        <v>73</v>
      </c>
      <c r="F259" s="26" t="s">
        <v>617</v>
      </c>
      <c r="G259" s="26" t="s">
        <v>163</v>
      </c>
      <c r="H259" s="26" t="s">
        <v>49</v>
      </c>
      <c r="I259" s="26" t="s">
        <v>50</v>
      </c>
      <c r="J259" s="26" t="s">
        <v>64</v>
      </c>
      <c r="K259" s="26" t="s">
        <v>65</v>
      </c>
      <c r="L259" s="26">
        <v>126</v>
      </c>
      <c r="M259" s="26" t="s">
        <v>51</v>
      </c>
      <c r="N259" s="26" t="s">
        <v>419</v>
      </c>
      <c r="O259" s="26">
        <v>272</v>
      </c>
      <c r="P259" s="26">
        <v>275</v>
      </c>
      <c r="Q259" s="49" t="s">
        <v>1023</v>
      </c>
      <c r="R259" s="44" t="s">
        <v>1024</v>
      </c>
      <c r="S259" s="26" t="s">
        <v>163</v>
      </c>
      <c r="T259" s="26" t="s">
        <v>80</v>
      </c>
      <c r="U259" s="26" t="s">
        <v>1005</v>
      </c>
      <c r="V259" s="26" t="s">
        <v>40</v>
      </c>
      <c r="W259" s="26" t="s">
        <v>80</v>
      </c>
      <c r="X259" s="49"/>
      <c r="Y259" s="26" t="s">
        <v>1025</v>
      </c>
      <c r="Z259" s="26" t="s">
        <v>59</v>
      </c>
      <c r="AA259" s="11">
        <v>0</v>
      </c>
      <c r="AB259" s="11">
        <v>0</v>
      </c>
      <c r="AC259" s="32">
        <v>44717.22</v>
      </c>
      <c r="AD259" s="12">
        <v>0</v>
      </c>
      <c r="AE259" s="12">
        <v>0</v>
      </c>
      <c r="AF259" s="49"/>
    </row>
    <row r="260" spans="1:32" ht="22.5" customHeight="1" x14ac:dyDescent="0.25">
      <c r="A260" s="8">
        <v>259</v>
      </c>
      <c r="B260" s="60">
        <v>46071</v>
      </c>
      <c r="C260" s="27">
        <v>0.3125</v>
      </c>
      <c r="D260" s="26" t="s">
        <v>616</v>
      </c>
      <c r="E260" s="11" t="s">
        <v>73</v>
      </c>
      <c r="F260" s="26" t="s">
        <v>617</v>
      </c>
      <c r="G260" s="26" t="s">
        <v>163</v>
      </c>
      <c r="H260" s="26" t="s">
        <v>49</v>
      </c>
      <c r="I260" s="26" t="s">
        <v>50</v>
      </c>
      <c r="J260" s="26" t="s">
        <v>64</v>
      </c>
      <c r="K260" s="26" t="s">
        <v>65</v>
      </c>
      <c r="L260" s="26">
        <v>127</v>
      </c>
      <c r="M260" s="26" t="s">
        <v>51</v>
      </c>
      <c r="N260" s="26" t="s">
        <v>1026</v>
      </c>
      <c r="O260" s="26">
        <v>0</v>
      </c>
      <c r="P260" s="26">
        <v>40</v>
      </c>
      <c r="Q260" s="49" t="s">
        <v>1027</v>
      </c>
      <c r="R260" s="44" t="s">
        <v>1028</v>
      </c>
      <c r="S260" s="26" t="s">
        <v>163</v>
      </c>
      <c r="T260" s="26" t="s">
        <v>80</v>
      </c>
      <c r="U260" s="26" t="s">
        <v>1029</v>
      </c>
      <c r="V260" s="26" t="s">
        <v>40</v>
      </c>
      <c r="W260" s="26" t="s">
        <v>80</v>
      </c>
      <c r="X260" s="49" t="s">
        <v>1030</v>
      </c>
      <c r="Y260" s="26" t="s">
        <v>648</v>
      </c>
      <c r="Z260" s="26" t="s">
        <v>123</v>
      </c>
      <c r="AA260" s="11">
        <v>0</v>
      </c>
      <c r="AB260" s="11">
        <v>0</v>
      </c>
      <c r="AC260" s="32">
        <v>44717.22</v>
      </c>
      <c r="AD260" s="12">
        <v>0</v>
      </c>
      <c r="AE260" s="12">
        <v>0</v>
      </c>
      <c r="AF260" s="49"/>
    </row>
    <row r="261" spans="1:32" ht="22.5" customHeight="1" x14ac:dyDescent="0.25">
      <c r="A261" s="8">
        <v>260</v>
      </c>
      <c r="B261" s="60">
        <v>46071</v>
      </c>
      <c r="C261" s="27">
        <v>0.37152777777777779</v>
      </c>
      <c r="D261" s="26" t="s">
        <v>601</v>
      </c>
      <c r="E261" s="11" t="s">
        <v>73</v>
      </c>
      <c r="F261" s="26" t="s">
        <v>891</v>
      </c>
      <c r="G261" s="26" t="s">
        <v>63</v>
      </c>
      <c r="H261" s="26" t="s">
        <v>49</v>
      </c>
      <c r="I261" s="26" t="s">
        <v>50</v>
      </c>
      <c r="J261" s="26" t="s">
        <v>92</v>
      </c>
      <c r="K261" s="26" t="s">
        <v>65</v>
      </c>
      <c r="L261" s="26">
        <v>125</v>
      </c>
      <c r="M261" s="26" t="s">
        <v>568</v>
      </c>
      <c r="N261" s="26" t="s">
        <v>430</v>
      </c>
      <c r="O261" s="26">
        <v>20</v>
      </c>
      <c r="P261" s="26">
        <v>19</v>
      </c>
      <c r="Q261" s="49" t="s">
        <v>1031</v>
      </c>
      <c r="R261" s="44" t="s">
        <v>1022</v>
      </c>
      <c r="S261" s="26" t="s">
        <v>63</v>
      </c>
      <c r="T261" s="26" t="s">
        <v>40</v>
      </c>
      <c r="U261" s="26" t="s">
        <v>1022</v>
      </c>
      <c r="V261" s="26" t="s">
        <v>80</v>
      </c>
      <c r="W261" s="26" t="s">
        <v>80</v>
      </c>
      <c r="X261" s="49"/>
      <c r="Y261" s="26" t="s">
        <v>648</v>
      </c>
      <c r="Z261" s="26" t="s">
        <v>123</v>
      </c>
      <c r="AA261" s="26">
        <v>0</v>
      </c>
      <c r="AB261" s="31">
        <v>0</v>
      </c>
      <c r="AC261" s="32">
        <v>44717.22</v>
      </c>
      <c r="AD261" s="12">
        <f t="shared" si="4"/>
        <v>0</v>
      </c>
      <c r="AE261" s="12">
        <f t="shared" si="5"/>
        <v>0</v>
      </c>
      <c r="AF261" s="49"/>
    </row>
    <row r="262" spans="1:32" ht="22.5" customHeight="1" x14ac:dyDescent="0.25">
      <c r="A262" s="8">
        <v>261</v>
      </c>
      <c r="B262" s="60">
        <v>46071</v>
      </c>
      <c r="C262" s="27">
        <v>0.44444444444444442</v>
      </c>
      <c r="D262" s="26" t="s">
        <v>601</v>
      </c>
      <c r="E262" s="11" t="s">
        <v>73</v>
      </c>
      <c r="F262" s="26" t="s">
        <v>891</v>
      </c>
      <c r="G262" s="26" t="s">
        <v>63</v>
      </c>
      <c r="H262" s="26" t="s">
        <v>49</v>
      </c>
      <c r="I262" s="26" t="s">
        <v>50</v>
      </c>
      <c r="J262" s="26" t="s">
        <v>92</v>
      </c>
      <c r="K262" s="26" t="s">
        <v>65</v>
      </c>
      <c r="L262" s="26">
        <v>126</v>
      </c>
      <c r="M262" s="26" t="s">
        <v>51</v>
      </c>
      <c r="N262" s="26" t="s">
        <v>1032</v>
      </c>
      <c r="O262" s="26">
        <v>0</v>
      </c>
      <c r="P262" s="26">
        <v>8</v>
      </c>
      <c r="Q262" s="49" t="s">
        <v>1033</v>
      </c>
      <c r="R262" s="44" t="s">
        <v>1034</v>
      </c>
      <c r="S262" s="26" t="s">
        <v>63</v>
      </c>
      <c r="T262" s="26" t="s">
        <v>40</v>
      </c>
      <c r="U262" s="26" t="s">
        <v>1035</v>
      </c>
      <c r="V262" s="26" t="s">
        <v>80</v>
      </c>
      <c r="W262" s="26" t="s">
        <v>80</v>
      </c>
      <c r="X262" s="49" t="s">
        <v>1036</v>
      </c>
      <c r="Y262" s="26" t="s">
        <v>648</v>
      </c>
      <c r="Z262" s="26" t="s">
        <v>123</v>
      </c>
      <c r="AA262" s="26">
        <v>0</v>
      </c>
      <c r="AB262" s="31">
        <v>1</v>
      </c>
      <c r="AC262" s="32">
        <v>44717.22</v>
      </c>
      <c r="AD262" s="12">
        <f t="shared" si="4"/>
        <v>0</v>
      </c>
      <c r="AE262" s="12">
        <f t="shared" si="5"/>
        <v>1863.2175</v>
      </c>
      <c r="AF262" s="49"/>
    </row>
    <row r="263" spans="1:32" ht="22.5" customHeight="1" x14ac:dyDescent="0.25">
      <c r="A263" s="8">
        <v>262</v>
      </c>
      <c r="B263" s="60">
        <v>46071</v>
      </c>
      <c r="C263" s="27">
        <v>0.8125</v>
      </c>
      <c r="D263" s="26" t="s">
        <v>601</v>
      </c>
      <c r="E263" s="11" t="s">
        <v>73</v>
      </c>
      <c r="F263" s="26" t="s">
        <v>891</v>
      </c>
      <c r="G263" s="26" t="s">
        <v>63</v>
      </c>
      <c r="H263" s="26" t="s">
        <v>49</v>
      </c>
      <c r="I263" s="26" t="s">
        <v>50</v>
      </c>
      <c r="J263" s="26" t="s">
        <v>92</v>
      </c>
      <c r="K263" s="26" t="s">
        <v>65</v>
      </c>
      <c r="L263" s="26">
        <v>127</v>
      </c>
      <c r="M263" s="26" t="s">
        <v>51</v>
      </c>
      <c r="N263" s="26" t="s">
        <v>75</v>
      </c>
      <c r="O263" s="26"/>
      <c r="P263" s="26"/>
      <c r="Q263" s="49" t="s">
        <v>1037</v>
      </c>
      <c r="R263" s="44" t="s">
        <v>1038</v>
      </c>
      <c r="S263" s="26" t="s">
        <v>63</v>
      </c>
      <c r="T263" s="26" t="s">
        <v>40</v>
      </c>
      <c r="U263" s="26" t="s">
        <v>884</v>
      </c>
      <c r="V263" s="26" t="s">
        <v>40</v>
      </c>
      <c r="W263" s="26" t="s">
        <v>80</v>
      </c>
      <c r="X263" s="49"/>
      <c r="Y263" s="26" t="s">
        <v>632</v>
      </c>
      <c r="Z263" s="26" t="s">
        <v>59</v>
      </c>
      <c r="AA263" s="26">
        <v>0</v>
      </c>
      <c r="AB263" s="31">
        <v>0</v>
      </c>
      <c r="AC263" s="32">
        <v>44717.22</v>
      </c>
      <c r="AD263" s="12">
        <f t="shared" si="4"/>
        <v>0</v>
      </c>
      <c r="AE263" s="12">
        <f t="shared" si="5"/>
        <v>0</v>
      </c>
      <c r="AF263" s="49"/>
    </row>
    <row r="264" spans="1:32" ht="22.5" customHeight="1" x14ac:dyDescent="0.25">
      <c r="A264" s="8">
        <v>263</v>
      </c>
      <c r="B264" s="60">
        <v>46071</v>
      </c>
      <c r="C264" s="27">
        <v>0.84722222222222221</v>
      </c>
      <c r="D264" s="26" t="s">
        <v>601</v>
      </c>
      <c r="E264" s="11" t="s">
        <v>73</v>
      </c>
      <c r="F264" s="26" t="s">
        <v>891</v>
      </c>
      <c r="G264" s="26" t="s">
        <v>63</v>
      </c>
      <c r="H264" s="26" t="s">
        <v>49</v>
      </c>
      <c r="I264" s="26" t="s">
        <v>50</v>
      </c>
      <c r="J264" s="26" t="s">
        <v>92</v>
      </c>
      <c r="K264" s="26" t="s">
        <v>65</v>
      </c>
      <c r="L264" s="26">
        <v>127</v>
      </c>
      <c r="M264" s="26" t="s">
        <v>51</v>
      </c>
      <c r="N264" s="26" t="s">
        <v>75</v>
      </c>
      <c r="O264" s="26"/>
      <c r="P264" s="26"/>
      <c r="Q264" s="49" t="s">
        <v>1039</v>
      </c>
      <c r="R264" s="44" t="s">
        <v>1040</v>
      </c>
      <c r="S264" s="26" t="s">
        <v>63</v>
      </c>
      <c r="T264" s="26" t="s">
        <v>40</v>
      </c>
      <c r="U264" s="26" t="s">
        <v>884</v>
      </c>
      <c r="V264" s="26" t="s">
        <v>40</v>
      </c>
      <c r="W264" s="26" t="s">
        <v>80</v>
      </c>
      <c r="X264" s="49"/>
      <c r="Y264" s="26" t="s">
        <v>632</v>
      </c>
      <c r="Z264" s="26" t="s">
        <v>59</v>
      </c>
      <c r="AA264" s="26">
        <v>1</v>
      </c>
      <c r="AB264" s="31">
        <v>0</v>
      </c>
      <c r="AC264" s="32">
        <v>44717.22</v>
      </c>
      <c r="AD264" s="12">
        <f t="shared" si="4"/>
        <v>1863.2175</v>
      </c>
      <c r="AE264" s="12">
        <f t="shared" si="5"/>
        <v>0</v>
      </c>
      <c r="AF264" s="49"/>
    </row>
    <row r="265" spans="1:32" ht="22.5" customHeight="1" x14ac:dyDescent="0.25">
      <c r="A265" s="8">
        <v>264</v>
      </c>
      <c r="B265" s="60">
        <v>46072</v>
      </c>
      <c r="C265" s="27">
        <v>8.3333333333333329E-2</v>
      </c>
      <c r="D265" s="26" t="s">
        <v>601</v>
      </c>
      <c r="E265" s="11" t="s">
        <v>73</v>
      </c>
      <c r="F265" s="26" t="s">
        <v>891</v>
      </c>
      <c r="G265" s="26" t="s">
        <v>63</v>
      </c>
      <c r="H265" s="26" t="s">
        <v>49</v>
      </c>
      <c r="I265" s="26" t="s">
        <v>50</v>
      </c>
      <c r="J265" s="26" t="s">
        <v>92</v>
      </c>
      <c r="K265" s="26" t="s">
        <v>65</v>
      </c>
      <c r="L265" s="26">
        <v>127</v>
      </c>
      <c r="M265" s="26" t="s">
        <v>51</v>
      </c>
      <c r="N265" s="26" t="s">
        <v>75</v>
      </c>
      <c r="O265" s="26"/>
      <c r="P265" s="26"/>
      <c r="Q265" s="49" t="s">
        <v>1041</v>
      </c>
      <c r="R265" s="44" t="s">
        <v>1040</v>
      </c>
      <c r="S265" s="26" t="s">
        <v>63</v>
      </c>
      <c r="T265" s="26" t="s">
        <v>40</v>
      </c>
      <c r="U265" s="26" t="s">
        <v>884</v>
      </c>
      <c r="V265" s="26" t="s">
        <v>40</v>
      </c>
      <c r="W265" s="26" t="s">
        <v>80</v>
      </c>
      <c r="X265" s="49"/>
      <c r="Y265" s="26" t="s">
        <v>1025</v>
      </c>
      <c r="Z265" s="26" t="s">
        <v>59</v>
      </c>
      <c r="AA265" s="26">
        <v>0</v>
      </c>
      <c r="AB265" s="31">
        <v>2</v>
      </c>
      <c r="AC265" s="32">
        <v>44717.22</v>
      </c>
      <c r="AD265" s="12">
        <f t="shared" si="4"/>
        <v>0</v>
      </c>
      <c r="AE265" s="12">
        <f t="shared" si="5"/>
        <v>3726.4349999999999</v>
      </c>
      <c r="AF265" s="49"/>
    </row>
    <row r="266" spans="1:32" s="42" customFormat="1" ht="22.5" customHeight="1" x14ac:dyDescent="0.25">
      <c r="A266" s="8">
        <v>265</v>
      </c>
      <c r="B266" s="60">
        <v>46072</v>
      </c>
      <c r="C266" s="27">
        <v>0.16666666666666666</v>
      </c>
      <c r="D266" s="26" t="s">
        <v>601</v>
      </c>
      <c r="E266" s="11" t="s">
        <v>73</v>
      </c>
      <c r="F266" s="26" t="s">
        <v>891</v>
      </c>
      <c r="G266" s="26" t="s">
        <v>63</v>
      </c>
      <c r="H266" s="26" t="s">
        <v>49</v>
      </c>
      <c r="I266" s="26" t="s">
        <v>50</v>
      </c>
      <c r="J266" s="26" t="s">
        <v>92</v>
      </c>
      <c r="K266" s="26" t="s">
        <v>65</v>
      </c>
      <c r="L266" s="26">
        <v>127</v>
      </c>
      <c r="M266" s="26" t="s">
        <v>51</v>
      </c>
      <c r="N266" s="26" t="s">
        <v>75</v>
      </c>
      <c r="O266" s="26"/>
      <c r="P266" s="26"/>
      <c r="Q266" s="49" t="s">
        <v>1041</v>
      </c>
      <c r="R266" s="44" t="s">
        <v>1040</v>
      </c>
      <c r="S266" s="26" t="s">
        <v>63</v>
      </c>
      <c r="T266" s="26" t="s">
        <v>40</v>
      </c>
      <c r="U266" s="26" t="s">
        <v>884</v>
      </c>
      <c r="V266" s="26" t="s">
        <v>40</v>
      </c>
      <c r="W266" s="26" t="s">
        <v>80</v>
      </c>
      <c r="X266" s="49"/>
      <c r="Y266" s="26" t="s">
        <v>1025</v>
      </c>
      <c r="Z266" s="26" t="s">
        <v>59</v>
      </c>
      <c r="AA266" s="26">
        <v>0</v>
      </c>
      <c r="AB266" s="31">
        <v>2</v>
      </c>
      <c r="AC266" s="32">
        <v>44717.22</v>
      </c>
      <c r="AD266" s="12">
        <f t="shared" si="4"/>
        <v>0</v>
      </c>
      <c r="AE266" s="12">
        <f t="shared" si="5"/>
        <v>3726.4349999999999</v>
      </c>
      <c r="AF266" s="49"/>
    </row>
    <row r="267" spans="1:32" ht="22.5" customHeight="1" x14ac:dyDescent="0.25">
      <c r="A267" s="8">
        <v>266</v>
      </c>
      <c r="B267" s="60">
        <v>46072</v>
      </c>
      <c r="C267" s="27">
        <v>0.40625</v>
      </c>
      <c r="D267" s="26" t="s">
        <v>601</v>
      </c>
      <c r="E267" s="11" t="s">
        <v>73</v>
      </c>
      <c r="F267" s="26" t="s">
        <v>891</v>
      </c>
      <c r="G267" s="26" t="s">
        <v>63</v>
      </c>
      <c r="H267" s="26" t="s">
        <v>49</v>
      </c>
      <c r="I267" s="26" t="s">
        <v>50</v>
      </c>
      <c r="J267" s="26" t="s">
        <v>92</v>
      </c>
      <c r="K267" s="26" t="s">
        <v>65</v>
      </c>
      <c r="L267" s="26">
        <v>127</v>
      </c>
      <c r="M267" s="26" t="s">
        <v>51</v>
      </c>
      <c r="N267" s="26" t="s">
        <v>313</v>
      </c>
      <c r="O267" s="26">
        <v>50</v>
      </c>
      <c r="P267" s="26" t="s">
        <v>1110</v>
      </c>
      <c r="Q267" s="49" t="s">
        <v>1042</v>
      </c>
      <c r="R267" s="44" t="s">
        <v>1043</v>
      </c>
      <c r="S267" s="26" t="s">
        <v>63</v>
      </c>
      <c r="T267" s="26" t="s">
        <v>40</v>
      </c>
      <c r="U267" s="26" t="s">
        <v>1044</v>
      </c>
      <c r="V267" s="26" t="s">
        <v>40</v>
      </c>
      <c r="W267" s="26" t="s">
        <v>80</v>
      </c>
      <c r="X267" s="49"/>
      <c r="Y267" s="26" t="s">
        <v>648</v>
      </c>
      <c r="Z267" s="26" t="s">
        <v>123</v>
      </c>
      <c r="AA267" s="26">
        <v>0</v>
      </c>
      <c r="AB267" s="31">
        <v>0</v>
      </c>
      <c r="AC267" s="32">
        <v>44717.22</v>
      </c>
      <c r="AD267" s="12">
        <f t="shared" si="4"/>
        <v>0</v>
      </c>
      <c r="AE267" s="12">
        <f t="shared" si="5"/>
        <v>0</v>
      </c>
      <c r="AF267" s="49"/>
    </row>
    <row r="268" spans="1:32" ht="22.5" customHeight="1" x14ac:dyDescent="0.25">
      <c r="A268" s="8">
        <v>267</v>
      </c>
      <c r="B268" s="60">
        <v>46072</v>
      </c>
      <c r="C268" s="27">
        <v>0.49652777777777779</v>
      </c>
      <c r="D268" s="26" t="s">
        <v>601</v>
      </c>
      <c r="E268" s="11" t="s">
        <v>73</v>
      </c>
      <c r="F268" s="26" t="s">
        <v>891</v>
      </c>
      <c r="G268" s="26" t="s">
        <v>63</v>
      </c>
      <c r="H268" s="26" t="s">
        <v>49</v>
      </c>
      <c r="I268" s="26" t="s">
        <v>50</v>
      </c>
      <c r="J268" s="26" t="s">
        <v>92</v>
      </c>
      <c r="K268" s="26" t="s">
        <v>65</v>
      </c>
      <c r="L268" s="26"/>
      <c r="M268" s="26" t="s">
        <v>51</v>
      </c>
      <c r="N268" s="26" t="s">
        <v>313</v>
      </c>
      <c r="O268" s="26">
        <v>55</v>
      </c>
      <c r="P268" s="26" t="s">
        <v>1111</v>
      </c>
      <c r="Q268" s="49" t="s">
        <v>1098</v>
      </c>
      <c r="R268" s="44" t="s">
        <v>1099</v>
      </c>
      <c r="S268" s="26" t="s">
        <v>63</v>
      </c>
      <c r="T268" s="26" t="s">
        <v>40</v>
      </c>
      <c r="U268" s="26" t="s">
        <v>1045</v>
      </c>
      <c r="V268" s="26" t="s">
        <v>40</v>
      </c>
      <c r="W268" s="26" t="s">
        <v>40</v>
      </c>
      <c r="X268" s="49" t="s">
        <v>1046</v>
      </c>
      <c r="Y268" s="26" t="s">
        <v>648</v>
      </c>
      <c r="Z268" s="26" t="s">
        <v>123</v>
      </c>
      <c r="AA268" s="26">
        <v>2.5</v>
      </c>
      <c r="AB268" s="31">
        <v>0</v>
      </c>
      <c r="AC268" s="32">
        <v>44717.22</v>
      </c>
      <c r="AD268" s="12">
        <f t="shared" si="4"/>
        <v>4658.0437500000007</v>
      </c>
      <c r="AE268" s="12">
        <f t="shared" si="5"/>
        <v>0</v>
      </c>
      <c r="AF268" s="49"/>
    </row>
    <row r="269" spans="1:32" ht="22.5" customHeight="1" x14ac:dyDescent="0.25">
      <c r="A269" s="8">
        <v>268</v>
      </c>
      <c r="B269" s="60">
        <v>46072</v>
      </c>
      <c r="C269" s="27">
        <v>0.52430555555555558</v>
      </c>
      <c r="D269" s="26" t="s">
        <v>616</v>
      </c>
      <c r="E269" s="11" t="s">
        <v>73</v>
      </c>
      <c r="F269" s="26" t="s">
        <v>617</v>
      </c>
      <c r="G269" s="26" t="s">
        <v>163</v>
      </c>
      <c r="H269" s="26" t="s">
        <v>49</v>
      </c>
      <c r="I269" s="26" t="s">
        <v>50</v>
      </c>
      <c r="J269" s="26" t="s">
        <v>92</v>
      </c>
      <c r="K269" s="26" t="s">
        <v>65</v>
      </c>
      <c r="L269" s="26"/>
      <c r="M269" s="26" t="s">
        <v>430</v>
      </c>
      <c r="N269" s="26" t="s">
        <v>430</v>
      </c>
      <c r="O269" s="26">
        <v>20</v>
      </c>
      <c r="P269" s="26" t="s">
        <v>1112</v>
      </c>
      <c r="Q269" s="49" t="s">
        <v>1047</v>
      </c>
      <c r="R269" s="44" t="s">
        <v>1048</v>
      </c>
      <c r="S269" s="26" t="s">
        <v>163</v>
      </c>
      <c r="T269" s="26" t="s">
        <v>80</v>
      </c>
      <c r="U269" s="26" t="s">
        <v>994</v>
      </c>
      <c r="V269" s="26" t="s">
        <v>80</v>
      </c>
      <c r="W269" s="26" t="s">
        <v>80</v>
      </c>
      <c r="X269" s="49" t="s">
        <v>262</v>
      </c>
      <c r="Y269" s="26" t="s">
        <v>648</v>
      </c>
      <c r="Z269" s="26" t="s">
        <v>123</v>
      </c>
      <c r="AA269" s="26">
        <v>0</v>
      </c>
      <c r="AB269" s="31">
        <v>0</v>
      </c>
      <c r="AC269" s="32">
        <v>44717.22</v>
      </c>
      <c r="AD269" s="12">
        <f t="shared" si="4"/>
        <v>0</v>
      </c>
      <c r="AE269" s="12">
        <f t="shared" si="5"/>
        <v>0</v>
      </c>
      <c r="AF269" s="49"/>
    </row>
    <row r="270" spans="1:32" ht="22.5" customHeight="1" x14ac:dyDescent="0.25">
      <c r="A270" s="8">
        <v>269</v>
      </c>
      <c r="B270" s="60">
        <v>46072</v>
      </c>
      <c r="C270" s="27">
        <v>0.6791666666666667</v>
      </c>
      <c r="D270" s="26" t="s">
        <v>601</v>
      </c>
      <c r="E270" s="11" t="s">
        <v>73</v>
      </c>
      <c r="F270" s="26" t="s">
        <v>891</v>
      </c>
      <c r="G270" s="26" t="s">
        <v>63</v>
      </c>
      <c r="H270" s="26" t="s">
        <v>49</v>
      </c>
      <c r="I270" s="26" t="s">
        <v>50</v>
      </c>
      <c r="J270" s="26" t="s">
        <v>31</v>
      </c>
      <c r="K270" s="26" t="s">
        <v>65</v>
      </c>
      <c r="L270" s="26"/>
      <c r="M270" s="26" t="s">
        <v>1049</v>
      </c>
      <c r="N270" s="26"/>
      <c r="O270" s="26"/>
      <c r="P270" s="26"/>
      <c r="Q270" s="49" t="s">
        <v>1050</v>
      </c>
      <c r="R270" s="44" t="s">
        <v>1100</v>
      </c>
      <c r="S270" s="26" t="s">
        <v>63</v>
      </c>
      <c r="T270" s="26" t="s">
        <v>80</v>
      </c>
      <c r="U270" s="26" t="s">
        <v>1051</v>
      </c>
      <c r="V270" s="26" t="s">
        <v>80</v>
      </c>
      <c r="W270" s="26" t="s">
        <v>80</v>
      </c>
      <c r="X270" s="49" t="s">
        <v>262</v>
      </c>
      <c r="Y270" s="26" t="s">
        <v>632</v>
      </c>
      <c r="Z270" s="26" t="s">
        <v>123</v>
      </c>
      <c r="AA270" s="26">
        <v>0</v>
      </c>
      <c r="AB270" s="31">
        <v>0</v>
      </c>
      <c r="AC270" s="32">
        <v>44717.22</v>
      </c>
      <c r="AD270" s="12">
        <v>0</v>
      </c>
      <c r="AE270" s="12">
        <v>0</v>
      </c>
      <c r="AF270" s="49"/>
    </row>
    <row r="271" spans="1:32" ht="22.5" customHeight="1" x14ac:dyDescent="0.25">
      <c r="A271" s="8">
        <v>270</v>
      </c>
      <c r="B271" s="60">
        <v>46072</v>
      </c>
      <c r="C271" s="27">
        <v>0.84722222222222221</v>
      </c>
      <c r="D271" s="26" t="s">
        <v>601</v>
      </c>
      <c r="E271" s="11" t="s">
        <v>73</v>
      </c>
      <c r="F271" s="26" t="s">
        <v>891</v>
      </c>
      <c r="G271" s="26" t="s">
        <v>63</v>
      </c>
      <c r="H271" s="26" t="s">
        <v>49</v>
      </c>
      <c r="I271" s="26" t="s">
        <v>50</v>
      </c>
      <c r="J271" s="26" t="s">
        <v>92</v>
      </c>
      <c r="K271" s="26" t="s">
        <v>65</v>
      </c>
      <c r="L271" s="26"/>
      <c r="M271" s="26" t="s">
        <v>1113</v>
      </c>
      <c r="N271" s="26" t="s">
        <v>391</v>
      </c>
      <c r="O271" s="26"/>
      <c r="P271" s="26"/>
      <c r="Q271" s="49" t="s">
        <v>1052</v>
      </c>
      <c r="R271" s="44" t="s">
        <v>1101</v>
      </c>
      <c r="S271" s="26" t="s">
        <v>63</v>
      </c>
      <c r="T271" s="26" t="s">
        <v>40</v>
      </c>
      <c r="U271" s="26" t="s">
        <v>1053</v>
      </c>
      <c r="V271" s="26" t="s">
        <v>40</v>
      </c>
      <c r="W271" s="26" t="s">
        <v>40</v>
      </c>
      <c r="X271" s="49"/>
      <c r="Y271" s="26" t="s">
        <v>632</v>
      </c>
      <c r="Z271" s="26" t="s">
        <v>59</v>
      </c>
      <c r="AA271" s="26">
        <v>0</v>
      </c>
      <c r="AB271" s="31">
        <v>2</v>
      </c>
      <c r="AC271" s="32">
        <v>44717.22</v>
      </c>
      <c r="AD271" s="12">
        <f t="shared" si="4"/>
        <v>0</v>
      </c>
      <c r="AE271" s="12">
        <f t="shared" si="5"/>
        <v>3726.4349999999999</v>
      </c>
      <c r="AF271" s="49"/>
    </row>
    <row r="272" spans="1:32" ht="22.5" customHeight="1" x14ac:dyDescent="0.25">
      <c r="A272" s="8">
        <v>271</v>
      </c>
      <c r="B272" s="60">
        <v>46072</v>
      </c>
      <c r="C272" s="27">
        <v>0.90972222222222221</v>
      </c>
      <c r="D272" s="26" t="s">
        <v>585</v>
      </c>
      <c r="E272" s="11" t="s">
        <v>73</v>
      </c>
      <c r="F272" s="26" t="s">
        <v>586</v>
      </c>
      <c r="G272" s="26" t="s">
        <v>587</v>
      </c>
      <c r="H272" s="26" t="s">
        <v>49</v>
      </c>
      <c r="I272" s="26" t="s">
        <v>50</v>
      </c>
      <c r="J272" s="26" t="s">
        <v>214</v>
      </c>
      <c r="K272" s="26" t="s">
        <v>833</v>
      </c>
      <c r="L272" s="26"/>
      <c r="M272" s="26" t="s">
        <v>1054</v>
      </c>
      <c r="N272" s="26" t="s">
        <v>75</v>
      </c>
      <c r="O272" s="26"/>
      <c r="P272" s="26"/>
      <c r="Q272" s="49" t="s">
        <v>1055</v>
      </c>
      <c r="R272" s="44"/>
      <c r="S272" s="26">
        <v>5.625</v>
      </c>
      <c r="T272" s="26" t="s">
        <v>40</v>
      </c>
      <c r="U272" s="26"/>
      <c r="V272" s="17" t="s">
        <v>40</v>
      </c>
      <c r="W272" s="17" t="s">
        <v>40</v>
      </c>
      <c r="X272" s="49"/>
      <c r="Y272" s="26" t="s">
        <v>632</v>
      </c>
      <c r="Z272" s="26" t="s">
        <v>59</v>
      </c>
      <c r="AA272" s="26">
        <v>0</v>
      </c>
      <c r="AB272" s="31">
        <v>0</v>
      </c>
      <c r="AC272" s="32">
        <v>44717.22</v>
      </c>
      <c r="AD272" s="12">
        <f t="shared" si="4"/>
        <v>0</v>
      </c>
      <c r="AE272" s="12">
        <f t="shared" si="5"/>
        <v>0</v>
      </c>
      <c r="AF272" s="49"/>
    </row>
    <row r="273" spans="1:32" ht="22.5" customHeight="1" x14ac:dyDescent="0.25">
      <c r="A273" s="8">
        <v>272</v>
      </c>
      <c r="B273" s="60">
        <v>46072</v>
      </c>
      <c r="C273" s="27">
        <v>0.97916666666666663</v>
      </c>
      <c r="D273" s="26" t="s">
        <v>601</v>
      </c>
      <c r="E273" s="11" t="s">
        <v>73</v>
      </c>
      <c r="F273" s="26" t="s">
        <v>891</v>
      </c>
      <c r="G273" s="26" t="s">
        <v>63</v>
      </c>
      <c r="H273" s="26" t="s">
        <v>49</v>
      </c>
      <c r="I273" s="26" t="s">
        <v>50</v>
      </c>
      <c r="J273" s="26" t="s">
        <v>92</v>
      </c>
      <c r="K273" s="26" t="s">
        <v>65</v>
      </c>
      <c r="L273" s="26"/>
      <c r="M273" s="26" t="s">
        <v>1113</v>
      </c>
      <c r="N273" s="26" t="s">
        <v>75</v>
      </c>
      <c r="O273" s="26"/>
      <c r="P273" s="26"/>
      <c r="Q273" s="49" t="s">
        <v>1102</v>
      </c>
      <c r="R273" s="44" t="s">
        <v>1056</v>
      </c>
      <c r="S273" s="26" t="s">
        <v>63</v>
      </c>
      <c r="T273" s="26" t="s">
        <v>40</v>
      </c>
      <c r="U273" s="26" t="s">
        <v>1053</v>
      </c>
      <c r="V273" s="26" t="s">
        <v>40</v>
      </c>
      <c r="W273" s="26" t="s">
        <v>40</v>
      </c>
      <c r="X273" s="49"/>
      <c r="Y273" s="26" t="s">
        <v>801</v>
      </c>
      <c r="Z273" s="26" t="s">
        <v>59</v>
      </c>
      <c r="AA273" s="26">
        <v>0</v>
      </c>
      <c r="AB273" s="31">
        <v>0</v>
      </c>
      <c r="AC273" s="32">
        <v>44717.22</v>
      </c>
      <c r="AD273" s="12">
        <f t="shared" si="4"/>
        <v>0</v>
      </c>
      <c r="AE273" s="12">
        <f t="shared" si="5"/>
        <v>0</v>
      </c>
      <c r="AF273" s="49"/>
    </row>
    <row r="274" spans="1:32" ht="22.5" customHeight="1" x14ac:dyDescent="0.25">
      <c r="A274" s="8">
        <v>273</v>
      </c>
      <c r="B274" s="60">
        <v>46073</v>
      </c>
      <c r="C274" s="27">
        <v>0.95138888888888884</v>
      </c>
      <c r="D274" s="26" t="s">
        <v>601</v>
      </c>
      <c r="E274" s="11" t="s">
        <v>73</v>
      </c>
      <c r="F274" s="26" t="s">
        <v>891</v>
      </c>
      <c r="G274" s="26" t="s">
        <v>63</v>
      </c>
      <c r="H274" s="26" t="s">
        <v>49</v>
      </c>
      <c r="I274" s="26" t="s">
        <v>50</v>
      </c>
      <c r="J274" s="26" t="s">
        <v>92</v>
      </c>
      <c r="K274" s="26" t="s">
        <v>65</v>
      </c>
      <c r="L274" s="26"/>
      <c r="M274" s="26" t="s">
        <v>1057</v>
      </c>
      <c r="N274" s="26" t="s">
        <v>75</v>
      </c>
      <c r="O274" s="26">
        <v>80</v>
      </c>
      <c r="P274" s="26" t="s">
        <v>1114</v>
      </c>
      <c r="Q274" s="49" t="s">
        <v>1103</v>
      </c>
      <c r="R274" s="44" t="s">
        <v>1104</v>
      </c>
      <c r="S274" s="26" t="s">
        <v>63</v>
      </c>
      <c r="T274" s="26" t="s">
        <v>40</v>
      </c>
      <c r="U274" s="26" t="s">
        <v>1053</v>
      </c>
      <c r="V274" s="26" t="s">
        <v>40</v>
      </c>
      <c r="W274" s="26" t="s">
        <v>40</v>
      </c>
      <c r="X274" s="49"/>
      <c r="Y274" s="26" t="s">
        <v>801</v>
      </c>
      <c r="Z274" s="26" t="s">
        <v>59</v>
      </c>
      <c r="AA274" s="26">
        <v>0</v>
      </c>
      <c r="AB274" s="31">
        <v>0</v>
      </c>
      <c r="AC274" s="32">
        <v>44717.22</v>
      </c>
      <c r="AD274" s="12">
        <f t="shared" si="4"/>
        <v>0</v>
      </c>
      <c r="AE274" s="12">
        <f t="shared" si="5"/>
        <v>0</v>
      </c>
      <c r="AF274" s="49"/>
    </row>
    <row r="275" spans="1:32" ht="22.5" customHeight="1" x14ac:dyDescent="0.25">
      <c r="A275" s="8">
        <v>274</v>
      </c>
      <c r="B275" s="60">
        <v>46074</v>
      </c>
      <c r="C275" s="27">
        <v>4.1666666666666664E-2</v>
      </c>
      <c r="D275" s="26" t="s">
        <v>601</v>
      </c>
      <c r="E275" s="11" t="s">
        <v>73</v>
      </c>
      <c r="F275" s="26" t="s">
        <v>891</v>
      </c>
      <c r="G275" s="26" t="s">
        <v>63</v>
      </c>
      <c r="H275" s="26" t="s">
        <v>49</v>
      </c>
      <c r="I275" s="26" t="s">
        <v>50</v>
      </c>
      <c r="J275" s="26" t="s">
        <v>92</v>
      </c>
      <c r="K275" s="26" t="s">
        <v>65</v>
      </c>
      <c r="L275" s="26"/>
      <c r="M275" s="26" t="s">
        <v>391</v>
      </c>
      <c r="N275" s="26" t="s">
        <v>75</v>
      </c>
      <c r="O275" s="26"/>
      <c r="P275" s="26"/>
      <c r="Q275" s="49" t="s">
        <v>1105</v>
      </c>
      <c r="R275" s="44" t="s">
        <v>1123</v>
      </c>
      <c r="S275" s="26" t="s">
        <v>63</v>
      </c>
      <c r="T275" s="26" t="s">
        <v>40</v>
      </c>
      <c r="U275" s="26" t="s">
        <v>1053</v>
      </c>
      <c r="V275" s="26" t="s">
        <v>40</v>
      </c>
      <c r="W275" s="26" t="s">
        <v>40</v>
      </c>
      <c r="X275" s="49"/>
      <c r="Y275" s="26" t="s">
        <v>801</v>
      </c>
      <c r="Z275" s="26" t="s">
        <v>59</v>
      </c>
      <c r="AA275" s="26">
        <v>15</v>
      </c>
      <c r="AB275" s="31">
        <v>0</v>
      </c>
      <c r="AC275" s="32">
        <v>44717.22</v>
      </c>
      <c r="AD275" s="12">
        <f t="shared" si="4"/>
        <v>27948.262500000001</v>
      </c>
      <c r="AE275" s="12">
        <f t="shared" si="5"/>
        <v>0</v>
      </c>
      <c r="AF275" s="49"/>
    </row>
    <row r="276" spans="1:32" ht="22.5" customHeight="1" x14ac:dyDescent="0.25">
      <c r="A276" s="8">
        <v>275</v>
      </c>
      <c r="B276" s="60">
        <v>46074</v>
      </c>
      <c r="C276" s="27">
        <v>0.25694444444444442</v>
      </c>
      <c r="D276" s="26" t="s">
        <v>601</v>
      </c>
      <c r="E276" s="11" t="s">
        <v>73</v>
      </c>
      <c r="F276" s="26" t="s">
        <v>891</v>
      </c>
      <c r="G276" s="26" t="s">
        <v>63</v>
      </c>
      <c r="H276" s="26" t="s">
        <v>49</v>
      </c>
      <c r="I276" s="26" t="s">
        <v>50</v>
      </c>
      <c r="J276" s="26" t="s">
        <v>92</v>
      </c>
      <c r="K276" s="26" t="s">
        <v>65</v>
      </c>
      <c r="L276" s="26"/>
      <c r="M276" s="26" t="s">
        <v>1058</v>
      </c>
      <c r="N276" s="26" t="s">
        <v>1059</v>
      </c>
      <c r="O276" s="26">
        <v>500</v>
      </c>
      <c r="P276" s="26" t="s">
        <v>1115</v>
      </c>
      <c r="Q276" s="49" t="s">
        <v>1060</v>
      </c>
      <c r="R276" s="44" t="s">
        <v>1061</v>
      </c>
      <c r="S276" s="26" t="s">
        <v>63</v>
      </c>
      <c r="T276" s="26" t="s">
        <v>40</v>
      </c>
      <c r="U276" s="26" t="s">
        <v>1062</v>
      </c>
      <c r="V276" s="26" t="s">
        <v>40</v>
      </c>
      <c r="W276" s="26" t="s">
        <v>80</v>
      </c>
      <c r="X276" s="49"/>
      <c r="Y276" s="26" t="s">
        <v>801</v>
      </c>
      <c r="Z276" s="26" t="s">
        <v>123</v>
      </c>
      <c r="AA276" s="26">
        <v>0</v>
      </c>
      <c r="AB276" s="31">
        <v>0</v>
      </c>
      <c r="AC276" s="32">
        <v>44717.22</v>
      </c>
      <c r="AD276" s="12">
        <f t="shared" si="4"/>
        <v>0</v>
      </c>
      <c r="AE276" s="12">
        <f t="shared" si="5"/>
        <v>0</v>
      </c>
      <c r="AF276" s="49"/>
    </row>
    <row r="277" spans="1:32" ht="22.5" customHeight="1" x14ac:dyDescent="0.25">
      <c r="A277" s="8">
        <v>276</v>
      </c>
      <c r="B277" s="60">
        <v>46074</v>
      </c>
      <c r="C277" s="27">
        <v>0.2590277777777778</v>
      </c>
      <c r="D277" s="26" t="s">
        <v>601</v>
      </c>
      <c r="E277" s="11" t="s">
        <v>73</v>
      </c>
      <c r="F277" s="26" t="s">
        <v>891</v>
      </c>
      <c r="G277" s="26" t="s">
        <v>63</v>
      </c>
      <c r="H277" s="26" t="s">
        <v>49</v>
      </c>
      <c r="I277" s="26" t="s">
        <v>50</v>
      </c>
      <c r="J277" s="26" t="s">
        <v>92</v>
      </c>
      <c r="K277" s="26" t="s">
        <v>65</v>
      </c>
      <c r="L277" s="26"/>
      <c r="M277" s="26" t="s">
        <v>1058</v>
      </c>
      <c r="N277" s="26" t="s">
        <v>165</v>
      </c>
      <c r="O277" s="26">
        <v>70</v>
      </c>
      <c r="P277" s="26" t="s">
        <v>1063</v>
      </c>
      <c r="Q277" s="49" t="s">
        <v>1064</v>
      </c>
      <c r="R277" s="44" t="s">
        <v>1065</v>
      </c>
      <c r="S277" s="26" t="s">
        <v>63</v>
      </c>
      <c r="T277" s="26" t="s">
        <v>40</v>
      </c>
      <c r="U277" s="26" t="s">
        <v>1066</v>
      </c>
      <c r="V277" s="26" t="s">
        <v>40</v>
      </c>
      <c r="W277" s="26" t="s">
        <v>40</v>
      </c>
      <c r="X277" s="49" t="s">
        <v>1067</v>
      </c>
      <c r="Y277" s="26" t="s">
        <v>801</v>
      </c>
      <c r="Z277" s="26" t="s">
        <v>123</v>
      </c>
      <c r="AA277" s="26">
        <v>1.5</v>
      </c>
      <c r="AB277" s="31">
        <v>0</v>
      </c>
      <c r="AC277" s="32">
        <v>44717.22</v>
      </c>
      <c r="AD277" s="12">
        <f t="shared" si="4"/>
        <v>2794.8262500000001</v>
      </c>
      <c r="AE277" s="12">
        <f t="shared" si="5"/>
        <v>0</v>
      </c>
      <c r="AF277" s="49"/>
    </row>
    <row r="278" spans="1:32" ht="22.5" customHeight="1" x14ac:dyDescent="0.25">
      <c r="A278" s="8">
        <v>277</v>
      </c>
      <c r="B278" s="60">
        <v>46074</v>
      </c>
      <c r="C278" s="27">
        <v>0.28472222222222221</v>
      </c>
      <c r="D278" s="26" t="s">
        <v>601</v>
      </c>
      <c r="E278" s="11" t="s">
        <v>73</v>
      </c>
      <c r="F278" s="26" t="s">
        <v>891</v>
      </c>
      <c r="G278" s="26" t="s">
        <v>63</v>
      </c>
      <c r="H278" s="26" t="s">
        <v>49</v>
      </c>
      <c r="I278" s="26" t="s">
        <v>50</v>
      </c>
      <c r="J278" s="26" t="s">
        <v>92</v>
      </c>
      <c r="K278" s="26" t="s">
        <v>65</v>
      </c>
      <c r="L278" s="26"/>
      <c r="M278" s="26" t="s">
        <v>1058</v>
      </c>
      <c r="N278" s="26" t="s">
        <v>1059</v>
      </c>
      <c r="O278" s="26">
        <v>500</v>
      </c>
      <c r="P278" s="26" t="s">
        <v>1115</v>
      </c>
      <c r="Q278" s="49" t="s">
        <v>1068</v>
      </c>
      <c r="R278" s="44" t="s">
        <v>1069</v>
      </c>
      <c r="S278" s="26" t="s">
        <v>63</v>
      </c>
      <c r="T278" s="26" t="s">
        <v>40</v>
      </c>
      <c r="U278" s="26" t="s">
        <v>1070</v>
      </c>
      <c r="V278" s="26" t="s">
        <v>40</v>
      </c>
      <c r="W278" s="26" t="s">
        <v>80</v>
      </c>
      <c r="X278" s="49"/>
      <c r="Y278" s="26" t="s">
        <v>648</v>
      </c>
      <c r="Z278" s="26" t="s">
        <v>123</v>
      </c>
      <c r="AA278" s="26">
        <v>0</v>
      </c>
      <c r="AB278" s="31">
        <v>0</v>
      </c>
      <c r="AC278" s="32">
        <v>44717.22</v>
      </c>
      <c r="AD278" s="12">
        <f t="shared" si="4"/>
        <v>0</v>
      </c>
      <c r="AE278" s="12">
        <f t="shared" si="5"/>
        <v>0</v>
      </c>
      <c r="AF278" s="49"/>
    </row>
    <row r="279" spans="1:32" ht="22.5" customHeight="1" x14ac:dyDescent="0.25">
      <c r="A279" s="8">
        <v>278</v>
      </c>
      <c r="B279" s="60">
        <v>46075</v>
      </c>
      <c r="C279" s="27">
        <v>0.4597222222222222</v>
      </c>
      <c r="D279" s="26" t="s">
        <v>601</v>
      </c>
      <c r="E279" s="11" t="s">
        <v>73</v>
      </c>
      <c r="F279" s="26" t="s">
        <v>891</v>
      </c>
      <c r="G279" s="26" t="s">
        <v>63</v>
      </c>
      <c r="H279" s="26" t="s">
        <v>49</v>
      </c>
      <c r="I279" s="26" t="s">
        <v>50</v>
      </c>
      <c r="J279" s="26" t="s">
        <v>92</v>
      </c>
      <c r="K279" s="26" t="s">
        <v>65</v>
      </c>
      <c r="L279" s="26"/>
      <c r="M279" s="26" t="s">
        <v>604</v>
      </c>
      <c r="N279" s="26" t="s">
        <v>1071</v>
      </c>
      <c r="O279" s="26">
        <v>2</v>
      </c>
      <c r="P279" s="26" t="s">
        <v>1116</v>
      </c>
      <c r="Q279" s="49" t="s">
        <v>1072</v>
      </c>
      <c r="R279" s="44" t="s">
        <v>1073</v>
      </c>
      <c r="S279" s="26" t="s">
        <v>63</v>
      </c>
      <c r="T279" s="26" t="s">
        <v>40</v>
      </c>
      <c r="U279" s="26" t="s">
        <v>1074</v>
      </c>
      <c r="V279" s="26" t="s">
        <v>40</v>
      </c>
      <c r="W279" s="26" t="s">
        <v>40</v>
      </c>
      <c r="X279" s="49" t="s">
        <v>1075</v>
      </c>
      <c r="Y279" s="26" t="s">
        <v>648</v>
      </c>
      <c r="Z279" s="26" t="s">
        <v>123</v>
      </c>
      <c r="AA279" s="26">
        <v>0</v>
      </c>
      <c r="AB279" s="31">
        <v>0</v>
      </c>
      <c r="AC279" s="32">
        <v>44717.22</v>
      </c>
      <c r="AD279" s="12">
        <f t="shared" si="4"/>
        <v>0</v>
      </c>
      <c r="AE279" s="12">
        <f t="shared" si="5"/>
        <v>0</v>
      </c>
      <c r="AF279" s="49"/>
    </row>
    <row r="280" spans="1:32" ht="22.5" customHeight="1" x14ac:dyDescent="0.25">
      <c r="A280" s="8">
        <v>279</v>
      </c>
      <c r="B280" s="60">
        <v>46075</v>
      </c>
      <c r="C280" s="27">
        <v>0.66666666666666663</v>
      </c>
      <c r="D280" s="26" t="s">
        <v>601</v>
      </c>
      <c r="E280" s="11" t="s">
        <v>73</v>
      </c>
      <c r="F280" s="26" t="s">
        <v>891</v>
      </c>
      <c r="G280" s="26" t="s">
        <v>63</v>
      </c>
      <c r="H280" s="26" t="s">
        <v>49</v>
      </c>
      <c r="I280" s="26" t="s">
        <v>50</v>
      </c>
      <c r="J280" s="26" t="s">
        <v>92</v>
      </c>
      <c r="K280" s="26" t="s">
        <v>65</v>
      </c>
      <c r="L280" s="26"/>
      <c r="M280" s="26" t="s">
        <v>604</v>
      </c>
      <c r="N280" s="26" t="s">
        <v>1071</v>
      </c>
      <c r="O280" s="26">
        <v>2</v>
      </c>
      <c r="P280" s="26" t="s">
        <v>1117</v>
      </c>
      <c r="Q280" s="49" t="s">
        <v>1106</v>
      </c>
      <c r="R280" s="44" t="s">
        <v>1076</v>
      </c>
      <c r="S280" s="26" t="s">
        <v>63</v>
      </c>
      <c r="T280" s="26" t="s">
        <v>40</v>
      </c>
      <c r="U280" s="26" t="s">
        <v>1074</v>
      </c>
      <c r="V280" s="26" t="s">
        <v>40</v>
      </c>
      <c r="W280" s="26" t="s">
        <v>40</v>
      </c>
      <c r="X280" s="49" t="s">
        <v>1075</v>
      </c>
      <c r="Y280" s="26" t="s">
        <v>641</v>
      </c>
      <c r="Z280" s="26" t="s">
        <v>123</v>
      </c>
      <c r="AA280" s="26">
        <v>0</v>
      </c>
      <c r="AB280" s="31">
        <v>0</v>
      </c>
      <c r="AC280" s="32">
        <v>44717.22</v>
      </c>
      <c r="AD280" s="12">
        <f t="shared" si="4"/>
        <v>0</v>
      </c>
      <c r="AE280" s="12">
        <f t="shared" si="5"/>
        <v>0</v>
      </c>
      <c r="AF280" s="49"/>
    </row>
    <row r="281" spans="1:32" ht="22.5" customHeight="1" x14ac:dyDescent="0.25">
      <c r="A281" s="8">
        <v>280</v>
      </c>
      <c r="B281" s="60">
        <v>46075</v>
      </c>
      <c r="C281" s="27">
        <v>0.82013888888888886</v>
      </c>
      <c r="D281" s="26" t="s">
        <v>601</v>
      </c>
      <c r="E281" s="11" t="s">
        <v>73</v>
      </c>
      <c r="F281" s="26" t="s">
        <v>891</v>
      </c>
      <c r="G281" s="26" t="s">
        <v>63</v>
      </c>
      <c r="H281" s="26" t="s">
        <v>49</v>
      </c>
      <c r="I281" s="26" t="s">
        <v>50</v>
      </c>
      <c r="J281" s="26" t="s">
        <v>214</v>
      </c>
      <c r="K281" s="26" t="s">
        <v>833</v>
      </c>
      <c r="L281" s="26"/>
      <c r="M281" s="26" t="s">
        <v>1077</v>
      </c>
      <c r="N281" s="26" t="s">
        <v>1071</v>
      </c>
      <c r="O281" s="26">
        <v>2</v>
      </c>
      <c r="P281" s="26" t="s">
        <v>1118</v>
      </c>
      <c r="Q281" s="49" t="s">
        <v>1106</v>
      </c>
      <c r="R281" s="44" t="s">
        <v>1107</v>
      </c>
      <c r="S281" s="26" t="s">
        <v>63</v>
      </c>
      <c r="T281" s="26" t="s">
        <v>40</v>
      </c>
      <c r="U281" s="26" t="s">
        <v>1074</v>
      </c>
      <c r="V281" s="17" t="s">
        <v>40</v>
      </c>
      <c r="W281" s="17" t="s">
        <v>40</v>
      </c>
      <c r="X281" s="49"/>
      <c r="Y281" s="26" t="s">
        <v>641</v>
      </c>
      <c r="Z281" s="26" t="s">
        <v>59</v>
      </c>
      <c r="AA281" s="26">
        <v>0</v>
      </c>
      <c r="AB281" s="31">
        <v>1.8</v>
      </c>
      <c r="AC281" s="32">
        <v>44717.22</v>
      </c>
      <c r="AD281" s="12">
        <f t="shared" si="4"/>
        <v>0</v>
      </c>
      <c r="AE281" s="12">
        <f t="shared" si="5"/>
        <v>3353.7914999999998</v>
      </c>
      <c r="AF281" s="49"/>
    </row>
    <row r="282" spans="1:32" ht="22.5" customHeight="1" x14ac:dyDescent="0.25">
      <c r="A282" s="8">
        <v>281</v>
      </c>
      <c r="B282" s="60">
        <v>46075</v>
      </c>
      <c r="C282" s="27">
        <v>0.87013888888888891</v>
      </c>
      <c r="D282" s="26" t="s">
        <v>616</v>
      </c>
      <c r="E282" s="11" t="s">
        <v>73</v>
      </c>
      <c r="F282" s="26" t="s">
        <v>617</v>
      </c>
      <c r="G282" s="26" t="s">
        <v>163</v>
      </c>
      <c r="H282" s="26" t="s">
        <v>49</v>
      </c>
      <c r="I282" s="26" t="s">
        <v>50</v>
      </c>
      <c r="J282" s="26" t="s">
        <v>92</v>
      </c>
      <c r="K282" s="26" t="s">
        <v>65</v>
      </c>
      <c r="L282" s="26"/>
      <c r="M282" s="26" t="s">
        <v>604</v>
      </c>
      <c r="N282" s="26" t="s">
        <v>1071</v>
      </c>
      <c r="O282" s="26">
        <v>3.4</v>
      </c>
      <c r="P282" s="26" t="s">
        <v>1119</v>
      </c>
      <c r="Q282" s="49" t="s">
        <v>1078</v>
      </c>
      <c r="R282" s="44" t="s">
        <v>1108</v>
      </c>
      <c r="S282" s="26" t="s">
        <v>163</v>
      </c>
      <c r="T282" s="26" t="s">
        <v>40</v>
      </c>
      <c r="U282" s="26" t="s">
        <v>1074</v>
      </c>
      <c r="V282" s="26" t="s">
        <v>40</v>
      </c>
      <c r="W282" s="26" t="s">
        <v>40</v>
      </c>
      <c r="X282" s="49"/>
      <c r="Y282" s="26" t="s">
        <v>801</v>
      </c>
      <c r="Z282" s="26" t="s">
        <v>59</v>
      </c>
      <c r="AA282" s="26">
        <v>0</v>
      </c>
      <c r="AB282" s="31">
        <v>1.75</v>
      </c>
      <c r="AC282" s="32">
        <v>44717.22</v>
      </c>
      <c r="AD282" s="12">
        <f t="shared" si="4"/>
        <v>0</v>
      </c>
      <c r="AE282" s="12">
        <f t="shared" si="5"/>
        <v>3260.6306250000002</v>
      </c>
      <c r="AF282" s="49"/>
    </row>
    <row r="283" spans="1:32" ht="22.5" customHeight="1" x14ac:dyDescent="0.25">
      <c r="A283" s="8">
        <v>282</v>
      </c>
      <c r="B283" s="60">
        <v>46076</v>
      </c>
      <c r="C283" s="27">
        <v>5.0694444444444445E-2</v>
      </c>
      <c r="D283" s="26" t="s">
        <v>616</v>
      </c>
      <c r="E283" s="11" t="s">
        <v>73</v>
      </c>
      <c r="F283" s="26" t="s">
        <v>617</v>
      </c>
      <c r="G283" s="26" t="s">
        <v>163</v>
      </c>
      <c r="H283" s="26" t="s">
        <v>49</v>
      </c>
      <c r="I283" s="26" t="s">
        <v>50</v>
      </c>
      <c r="J283" s="26" t="s">
        <v>92</v>
      </c>
      <c r="K283" s="26" t="s">
        <v>65</v>
      </c>
      <c r="L283" s="26"/>
      <c r="M283" s="26" t="s">
        <v>604</v>
      </c>
      <c r="N283" s="26" t="s">
        <v>1071</v>
      </c>
      <c r="O283" s="26">
        <v>20</v>
      </c>
      <c r="P283" s="26" t="s">
        <v>1120</v>
      </c>
      <c r="Q283" s="49" t="s">
        <v>1079</v>
      </c>
      <c r="R283" s="44" t="s">
        <v>1109</v>
      </c>
      <c r="S283" s="26" t="s">
        <v>163</v>
      </c>
      <c r="T283" s="26" t="s">
        <v>40</v>
      </c>
      <c r="U283" s="26" t="s">
        <v>1074</v>
      </c>
      <c r="V283" s="26" t="s">
        <v>40</v>
      </c>
      <c r="W283" s="26" t="s">
        <v>40</v>
      </c>
      <c r="X283" s="49"/>
      <c r="Y283" s="26" t="s">
        <v>801</v>
      </c>
      <c r="Z283" s="26" t="s">
        <v>59</v>
      </c>
      <c r="AA283" s="26">
        <v>0</v>
      </c>
      <c r="AB283" s="31">
        <v>3.15</v>
      </c>
      <c r="AC283" s="32">
        <v>44717.22</v>
      </c>
      <c r="AD283" s="12">
        <f t="shared" si="4"/>
        <v>0</v>
      </c>
      <c r="AE283" s="12">
        <f t="shared" si="5"/>
        <v>5869.1351250000007</v>
      </c>
      <c r="AF283" s="49"/>
    </row>
    <row r="284" spans="1:32" ht="22.5" customHeight="1" x14ac:dyDescent="0.25">
      <c r="A284" s="8">
        <v>283</v>
      </c>
      <c r="B284" s="60">
        <v>46076</v>
      </c>
      <c r="C284" s="27">
        <v>0.73263888888888884</v>
      </c>
      <c r="D284" s="26" t="s">
        <v>601</v>
      </c>
      <c r="E284" s="11" t="s">
        <v>73</v>
      </c>
      <c r="F284" s="26" t="s">
        <v>891</v>
      </c>
      <c r="G284" s="26" t="s">
        <v>63</v>
      </c>
      <c r="H284" s="26" t="s">
        <v>49</v>
      </c>
      <c r="I284" s="26" t="s">
        <v>50</v>
      </c>
      <c r="J284" s="26" t="s">
        <v>92</v>
      </c>
      <c r="K284" s="26" t="s">
        <v>65</v>
      </c>
      <c r="L284" s="26"/>
      <c r="M284" s="26" t="s">
        <v>51</v>
      </c>
      <c r="N284" s="26" t="s">
        <v>75</v>
      </c>
      <c r="O284" s="26" t="s">
        <v>1080</v>
      </c>
      <c r="P284" s="26" t="s">
        <v>1121</v>
      </c>
      <c r="Q284" s="49" t="s">
        <v>1081</v>
      </c>
      <c r="R284" s="44" t="s">
        <v>1082</v>
      </c>
      <c r="S284" s="26" t="s">
        <v>63</v>
      </c>
      <c r="T284" s="26" t="s">
        <v>40</v>
      </c>
      <c r="U284" s="26" t="s">
        <v>1083</v>
      </c>
      <c r="V284" s="26" t="s">
        <v>40</v>
      </c>
      <c r="W284" s="26" t="s">
        <v>40</v>
      </c>
      <c r="X284" s="49"/>
      <c r="Y284" s="26" t="s">
        <v>641</v>
      </c>
      <c r="Z284" s="26" t="s">
        <v>123</v>
      </c>
      <c r="AA284" s="26">
        <v>0</v>
      </c>
      <c r="AB284" s="31">
        <v>0</v>
      </c>
      <c r="AC284" s="32">
        <v>44717.22</v>
      </c>
      <c r="AD284" s="12">
        <f t="shared" si="4"/>
        <v>0</v>
      </c>
      <c r="AE284" s="12">
        <f t="shared" si="5"/>
        <v>0</v>
      </c>
      <c r="AF284" s="49"/>
    </row>
    <row r="285" spans="1:32" ht="22.5" customHeight="1" x14ac:dyDescent="0.25">
      <c r="A285" s="8">
        <v>284</v>
      </c>
      <c r="B285" s="60">
        <v>46077</v>
      </c>
      <c r="C285" s="27">
        <v>6.7361111111111108E-2</v>
      </c>
      <c r="D285" s="26" t="s">
        <v>601</v>
      </c>
      <c r="E285" s="11" t="s">
        <v>73</v>
      </c>
      <c r="F285" s="26" t="s">
        <v>891</v>
      </c>
      <c r="G285" s="26" t="s">
        <v>63</v>
      </c>
      <c r="H285" s="26" t="s">
        <v>49</v>
      </c>
      <c r="I285" s="26" t="s">
        <v>50</v>
      </c>
      <c r="J285" s="26" t="s">
        <v>214</v>
      </c>
      <c r="K285" s="26" t="s">
        <v>214</v>
      </c>
      <c r="L285" s="26"/>
      <c r="M285" s="26" t="s">
        <v>1058</v>
      </c>
      <c r="N285" s="26" t="s">
        <v>75</v>
      </c>
      <c r="O285" s="26" t="s">
        <v>1084</v>
      </c>
      <c r="P285" s="26" t="s">
        <v>1084</v>
      </c>
      <c r="Q285" s="49" t="s">
        <v>1085</v>
      </c>
      <c r="R285" s="44" t="s">
        <v>1086</v>
      </c>
      <c r="S285" s="26" t="s">
        <v>63</v>
      </c>
      <c r="T285" s="26" t="s">
        <v>40</v>
      </c>
      <c r="U285" s="26" t="s">
        <v>1083</v>
      </c>
      <c r="V285" s="17" t="s">
        <v>40</v>
      </c>
      <c r="W285" s="17" t="s">
        <v>40</v>
      </c>
      <c r="X285" s="49"/>
      <c r="Y285" s="26" t="s">
        <v>801</v>
      </c>
      <c r="Z285" s="26" t="s">
        <v>59</v>
      </c>
      <c r="AA285" s="26">
        <v>0</v>
      </c>
      <c r="AB285" s="31">
        <v>5</v>
      </c>
      <c r="AC285" s="32">
        <v>44717.22</v>
      </c>
      <c r="AD285" s="12">
        <f t="shared" si="4"/>
        <v>0</v>
      </c>
      <c r="AE285" s="12">
        <f t="shared" si="5"/>
        <v>9316.0875000000015</v>
      </c>
      <c r="AF285" s="49"/>
    </row>
    <row r="286" spans="1:32" ht="22.5" customHeight="1" x14ac:dyDescent="0.25">
      <c r="A286" s="8">
        <v>285</v>
      </c>
      <c r="B286" s="60">
        <v>46077</v>
      </c>
      <c r="C286" s="27">
        <v>0.43402777777777779</v>
      </c>
      <c r="D286" s="26" t="s">
        <v>601</v>
      </c>
      <c r="E286" s="11" t="s">
        <v>73</v>
      </c>
      <c r="F286" s="26" t="s">
        <v>891</v>
      </c>
      <c r="G286" s="26" t="s">
        <v>63</v>
      </c>
      <c r="H286" s="26" t="s">
        <v>49</v>
      </c>
      <c r="I286" s="26" t="s">
        <v>50</v>
      </c>
      <c r="J286" s="26" t="s">
        <v>214</v>
      </c>
      <c r="K286" s="26" t="s">
        <v>214</v>
      </c>
      <c r="L286" s="26"/>
      <c r="M286" s="26" t="s">
        <v>1058</v>
      </c>
      <c r="N286" s="26" t="s">
        <v>75</v>
      </c>
      <c r="O286" s="26" t="s">
        <v>1087</v>
      </c>
      <c r="P286" s="26">
        <v>160</v>
      </c>
      <c r="Q286" s="49" t="s">
        <v>1088</v>
      </c>
      <c r="R286" s="44" t="s">
        <v>1089</v>
      </c>
      <c r="S286" s="26" t="s">
        <v>63</v>
      </c>
      <c r="T286" s="26" t="s">
        <v>40</v>
      </c>
      <c r="U286" s="26" t="s">
        <v>1090</v>
      </c>
      <c r="V286" s="17" t="s">
        <v>40</v>
      </c>
      <c r="W286" s="17" t="s">
        <v>40</v>
      </c>
      <c r="X286" s="49" t="s">
        <v>1091</v>
      </c>
      <c r="Y286" s="26" t="s">
        <v>632</v>
      </c>
      <c r="Z286" s="26" t="s">
        <v>123</v>
      </c>
      <c r="AA286" s="26">
        <v>0</v>
      </c>
      <c r="AB286" s="31">
        <v>0</v>
      </c>
      <c r="AC286" s="32">
        <v>44717.22</v>
      </c>
      <c r="AD286" s="12">
        <f t="shared" si="4"/>
        <v>0</v>
      </c>
      <c r="AE286" s="12">
        <f t="shared" si="5"/>
        <v>0</v>
      </c>
      <c r="AF286" s="49"/>
    </row>
    <row r="287" spans="1:32" ht="22.5" customHeight="1" x14ac:dyDescent="0.25">
      <c r="A287" s="8">
        <v>286</v>
      </c>
      <c r="B287" s="60">
        <v>46077</v>
      </c>
      <c r="C287" s="27">
        <v>0.43402777777777779</v>
      </c>
      <c r="D287" s="26" t="s">
        <v>616</v>
      </c>
      <c r="E287" s="11" t="s">
        <v>73</v>
      </c>
      <c r="F287" s="26" t="s">
        <v>617</v>
      </c>
      <c r="G287" s="26" t="s">
        <v>163</v>
      </c>
      <c r="H287" s="26" t="s">
        <v>49</v>
      </c>
      <c r="I287" s="26" t="s">
        <v>50</v>
      </c>
      <c r="J287" s="26" t="s">
        <v>92</v>
      </c>
      <c r="K287" s="26" t="s">
        <v>65</v>
      </c>
      <c r="L287" s="26"/>
      <c r="M287" s="26" t="s">
        <v>430</v>
      </c>
      <c r="N287" s="26" t="s">
        <v>430</v>
      </c>
      <c r="O287" s="26">
        <v>14</v>
      </c>
      <c r="P287" s="26">
        <v>12</v>
      </c>
      <c r="Q287" s="49" t="s">
        <v>1092</v>
      </c>
      <c r="R287" s="44" t="s">
        <v>1073</v>
      </c>
      <c r="S287" s="26" t="s">
        <v>163</v>
      </c>
      <c r="T287" s="26" t="s">
        <v>40</v>
      </c>
      <c r="U287" s="26" t="s">
        <v>1093</v>
      </c>
      <c r="V287" s="26" t="s">
        <v>40</v>
      </c>
      <c r="W287" s="26" t="s">
        <v>40</v>
      </c>
      <c r="X287" s="49" t="s">
        <v>1094</v>
      </c>
      <c r="Y287" s="26" t="s">
        <v>632</v>
      </c>
      <c r="Z287" s="26" t="s">
        <v>123</v>
      </c>
      <c r="AA287" s="26">
        <v>0</v>
      </c>
      <c r="AB287" s="31">
        <v>0</v>
      </c>
      <c r="AC287" s="32">
        <v>44717.22</v>
      </c>
      <c r="AD287" s="12">
        <f>AA287/24*AC287</f>
        <v>0</v>
      </c>
      <c r="AE287" s="12">
        <f t="shared" si="5"/>
        <v>0</v>
      </c>
      <c r="AF287" s="49"/>
    </row>
    <row r="288" spans="1:32" ht="22.5" customHeight="1" x14ac:dyDescent="0.25">
      <c r="A288" s="8">
        <v>287</v>
      </c>
      <c r="B288" s="60">
        <v>46078</v>
      </c>
      <c r="C288" s="27">
        <v>0.84722222222222221</v>
      </c>
      <c r="D288" s="26" t="s">
        <v>601</v>
      </c>
      <c r="E288" s="11" t="s">
        <v>73</v>
      </c>
      <c r="F288" s="26" t="s">
        <v>891</v>
      </c>
      <c r="G288" s="26" t="s">
        <v>63</v>
      </c>
      <c r="H288" s="26" t="s">
        <v>49</v>
      </c>
      <c r="I288" s="26" t="s">
        <v>50</v>
      </c>
      <c r="J288" s="26" t="s">
        <v>92</v>
      </c>
      <c r="K288" s="26" t="s">
        <v>65</v>
      </c>
      <c r="L288" s="26"/>
      <c r="M288" s="26" t="s">
        <v>51</v>
      </c>
      <c r="N288" s="26" t="s">
        <v>165</v>
      </c>
      <c r="O288" s="26">
        <v>130</v>
      </c>
      <c r="P288" s="26" t="s">
        <v>1122</v>
      </c>
      <c r="Q288" s="49" t="s">
        <v>1095</v>
      </c>
      <c r="R288" s="44" t="s">
        <v>1096</v>
      </c>
      <c r="S288" s="26" t="s">
        <v>63</v>
      </c>
      <c r="T288" s="26" t="s">
        <v>40</v>
      </c>
      <c r="U288" s="26" t="s">
        <v>1074</v>
      </c>
      <c r="V288" s="26" t="s">
        <v>40</v>
      </c>
      <c r="W288" s="26" t="s">
        <v>40</v>
      </c>
      <c r="X288" s="49" t="s">
        <v>1097</v>
      </c>
      <c r="Y288" s="26" t="s">
        <v>641</v>
      </c>
      <c r="Z288" s="26" t="s">
        <v>59</v>
      </c>
      <c r="AA288" s="26">
        <v>2</v>
      </c>
      <c r="AB288" s="31">
        <v>2</v>
      </c>
      <c r="AC288" s="32">
        <v>44717.22</v>
      </c>
      <c r="AD288" s="12">
        <f t="shared" ref="AD288:AD320" si="6">AA288/24*AC288</f>
        <v>3726.4349999999999</v>
      </c>
      <c r="AE288" s="12">
        <f t="shared" ref="AE288:AE319" si="7">AB288/24*AC288</f>
        <v>3726.4349999999999</v>
      </c>
      <c r="AF288" s="49"/>
    </row>
    <row r="289" spans="1:32" ht="21.6" customHeight="1" x14ac:dyDescent="0.25">
      <c r="A289" s="8">
        <v>288</v>
      </c>
      <c r="B289" s="60">
        <v>46079</v>
      </c>
      <c r="C289" s="35">
        <v>0.28819444444444442</v>
      </c>
      <c r="D289" s="33" t="s">
        <v>601</v>
      </c>
      <c r="E289" s="11" t="s">
        <v>73</v>
      </c>
      <c r="F289" s="33" t="s">
        <v>891</v>
      </c>
      <c r="G289" s="33" t="s">
        <v>63</v>
      </c>
      <c r="H289" s="26" t="s">
        <v>49</v>
      </c>
      <c r="I289" s="26" t="s">
        <v>50</v>
      </c>
      <c r="J289" s="33" t="s">
        <v>110</v>
      </c>
      <c r="K289" s="33" t="s">
        <v>32</v>
      </c>
      <c r="L289" s="33"/>
      <c r="M289" s="33" t="s">
        <v>1130</v>
      </c>
      <c r="N289" s="33" t="s">
        <v>1131</v>
      </c>
      <c r="O289" s="33" t="s">
        <v>1132</v>
      </c>
      <c r="P289" s="33" t="s">
        <v>1133</v>
      </c>
      <c r="Q289" s="44" t="s">
        <v>1134</v>
      </c>
      <c r="R289" s="44" t="s">
        <v>1135</v>
      </c>
      <c r="S289" s="33" t="s">
        <v>63</v>
      </c>
      <c r="T289" s="33" t="s">
        <v>80</v>
      </c>
      <c r="U289" s="33" t="s">
        <v>1136</v>
      </c>
      <c r="V289" s="33" t="s">
        <v>80</v>
      </c>
      <c r="W289" s="33" t="s">
        <v>80</v>
      </c>
      <c r="X289" s="44"/>
      <c r="Y289" s="33" t="s">
        <v>632</v>
      </c>
      <c r="Z289" s="33" t="s">
        <v>123</v>
      </c>
      <c r="AA289" s="33">
        <v>0</v>
      </c>
      <c r="AB289" s="33">
        <v>0</v>
      </c>
      <c r="AC289" s="32">
        <v>44717.22</v>
      </c>
      <c r="AD289" s="12">
        <f t="shared" si="6"/>
        <v>0</v>
      </c>
      <c r="AE289" s="12">
        <f t="shared" si="7"/>
        <v>0</v>
      </c>
      <c r="AF289" s="44"/>
    </row>
    <row r="290" spans="1:32" ht="21.6" customHeight="1" x14ac:dyDescent="0.25">
      <c r="A290" s="8">
        <v>289</v>
      </c>
      <c r="B290" s="60">
        <v>46079</v>
      </c>
      <c r="C290" s="35">
        <v>0.5625</v>
      </c>
      <c r="D290" s="33" t="s">
        <v>601</v>
      </c>
      <c r="E290" s="11" t="s">
        <v>73</v>
      </c>
      <c r="F290" s="33" t="s">
        <v>891</v>
      </c>
      <c r="G290" s="33" t="s">
        <v>63</v>
      </c>
      <c r="H290" s="26" t="s">
        <v>49</v>
      </c>
      <c r="I290" s="26" t="s">
        <v>50</v>
      </c>
      <c r="J290" s="33" t="s">
        <v>110</v>
      </c>
      <c r="K290" s="33" t="s">
        <v>32</v>
      </c>
      <c r="L290" s="33"/>
      <c r="M290" s="33" t="s">
        <v>1130</v>
      </c>
      <c r="N290" s="33" t="s">
        <v>1131</v>
      </c>
      <c r="O290" s="33" t="s">
        <v>1132</v>
      </c>
      <c r="P290" s="33" t="s">
        <v>1137</v>
      </c>
      <c r="Q290" s="44" t="s">
        <v>1138</v>
      </c>
      <c r="R290" s="44" t="s">
        <v>1139</v>
      </c>
      <c r="S290" s="33" t="s">
        <v>63</v>
      </c>
      <c r="T290" s="33" t="s">
        <v>40</v>
      </c>
      <c r="U290" s="33" t="s">
        <v>1140</v>
      </c>
      <c r="V290" s="33" t="s">
        <v>40</v>
      </c>
      <c r="W290" s="33" t="s">
        <v>40</v>
      </c>
      <c r="X290" s="44" t="s">
        <v>1141</v>
      </c>
      <c r="Y290" s="33" t="s">
        <v>1142</v>
      </c>
      <c r="Z290" s="33" t="s">
        <v>123</v>
      </c>
      <c r="AA290" s="33">
        <v>0</v>
      </c>
      <c r="AB290" s="33">
        <v>4.5</v>
      </c>
      <c r="AC290" s="32">
        <v>44717.22</v>
      </c>
      <c r="AD290" s="12">
        <f t="shared" si="6"/>
        <v>0</v>
      </c>
      <c r="AE290" s="12">
        <f t="shared" si="7"/>
        <v>8384.4787500000002</v>
      </c>
      <c r="AF290" s="44"/>
    </row>
    <row r="291" spans="1:32" ht="21.6" customHeight="1" x14ac:dyDescent="0.25">
      <c r="A291" s="8">
        <v>290</v>
      </c>
      <c r="B291" s="60">
        <v>46080</v>
      </c>
      <c r="C291" s="35">
        <v>0.65486111111111112</v>
      </c>
      <c r="D291" s="33" t="s">
        <v>616</v>
      </c>
      <c r="E291" s="11" t="s">
        <v>73</v>
      </c>
      <c r="F291" s="33" t="s">
        <v>617</v>
      </c>
      <c r="G291" s="33" t="s">
        <v>163</v>
      </c>
      <c r="H291" s="26" t="s">
        <v>49</v>
      </c>
      <c r="I291" s="26" t="s">
        <v>50</v>
      </c>
      <c r="J291" s="33" t="s">
        <v>92</v>
      </c>
      <c r="K291" s="33" t="s">
        <v>559</v>
      </c>
      <c r="L291" s="33"/>
      <c r="M291" s="33" t="s">
        <v>1130</v>
      </c>
      <c r="N291" s="33" t="s">
        <v>430</v>
      </c>
      <c r="O291" s="33">
        <v>20</v>
      </c>
      <c r="P291" s="33" t="s">
        <v>1112</v>
      </c>
      <c r="Q291" s="44" t="s">
        <v>1143</v>
      </c>
      <c r="R291" s="44" t="s">
        <v>1144</v>
      </c>
      <c r="S291" s="33" t="s">
        <v>163</v>
      </c>
      <c r="T291" s="33" t="s">
        <v>80</v>
      </c>
      <c r="U291" s="33" t="s">
        <v>1145</v>
      </c>
      <c r="V291" s="33" t="s">
        <v>80</v>
      </c>
      <c r="W291" s="33" t="s">
        <v>80</v>
      </c>
      <c r="X291" s="44"/>
      <c r="Y291" s="33" t="s">
        <v>641</v>
      </c>
      <c r="Z291" s="33" t="s">
        <v>123</v>
      </c>
      <c r="AA291" s="33">
        <v>0</v>
      </c>
      <c r="AB291" s="33">
        <v>0</v>
      </c>
      <c r="AC291" s="32">
        <v>44717.22</v>
      </c>
      <c r="AD291" s="12">
        <f t="shared" si="6"/>
        <v>0</v>
      </c>
      <c r="AE291" s="12">
        <f t="shared" si="7"/>
        <v>0</v>
      </c>
      <c r="AF291" s="44"/>
    </row>
    <row r="292" spans="1:32" ht="21.6" customHeight="1" x14ac:dyDescent="0.25">
      <c r="A292" s="8">
        <v>291</v>
      </c>
      <c r="B292" s="60">
        <v>46080</v>
      </c>
      <c r="C292" s="35">
        <v>0.65486111111111112</v>
      </c>
      <c r="D292" s="33" t="s">
        <v>616</v>
      </c>
      <c r="E292" s="11" t="s">
        <v>73</v>
      </c>
      <c r="F292" s="33" t="s">
        <v>617</v>
      </c>
      <c r="G292" s="33" t="s">
        <v>163</v>
      </c>
      <c r="H292" s="26" t="s">
        <v>49</v>
      </c>
      <c r="I292" s="26" t="s">
        <v>50</v>
      </c>
      <c r="J292" s="33" t="s">
        <v>92</v>
      </c>
      <c r="K292" s="33" t="s">
        <v>559</v>
      </c>
      <c r="L292" s="33"/>
      <c r="M292" s="33" t="s">
        <v>1130</v>
      </c>
      <c r="N292" s="33" t="s">
        <v>1071</v>
      </c>
      <c r="O292" s="33">
        <v>3.4</v>
      </c>
      <c r="P292" s="33" t="s">
        <v>1119</v>
      </c>
      <c r="Q292" s="44" t="s">
        <v>1146</v>
      </c>
      <c r="R292" s="44" t="s">
        <v>1147</v>
      </c>
      <c r="S292" s="33" t="s">
        <v>163</v>
      </c>
      <c r="T292" s="33" t="s">
        <v>40</v>
      </c>
      <c r="U292" s="33" t="s">
        <v>1148</v>
      </c>
      <c r="V292" s="33" t="s">
        <v>40</v>
      </c>
      <c r="W292" s="33" t="s">
        <v>40</v>
      </c>
      <c r="X292" s="44" t="s">
        <v>1149</v>
      </c>
      <c r="Y292" s="33" t="s">
        <v>641</v>
      </c>
      <c r="Z292" s="33" t="s">
        <v>123</v>
      </c>
      <c r="AA292" s="33">
        <v>3</v>
      </c>
      <c r="AB292" s="33">
        <v>0</v>
      </c>
      <c r="AC292" s="32">
        <v>44717.22</v>
      </c>
      <c r="AD292" s="12">
        <f t="shared" si="6"/>
        <v>5589.6525000000001</v>
      </c>
      <c r="AE292" s="12">
        <f t="shared" si="7"/>
        <v>0</v>
      </c>
      <c r="AF292" s="44"/>
    </row>
    <row r="293" spans="1:32" ht="21.6" customHeight="1" x14ac:dyDescent="0.25">
      <c r="A293" s="8">
        <v>292</v>
      </c>
      <c r="B293" s="60">
        <v>46080</v>
      </c>
      <c r="C293" s="35">
        <v>0.83333333333333337</v>
      </c>
      <c r="D293" s="33" t="s">
        <v>601</v>
      </c>
      <c r="E293" s="11" t="s">
        <v>73</v>
      </c>
      <c r="F293" s="33" t="s">
        <v>891</v>
      </c>
      <c r="G293" s="33" t="s">
        <v>163</v>
      </c>
      <c r="H293" s="26" t="s">
        <v>49</v>
      </c>
      <c r="I293" s="26" t="s">
        <v>50</v>
      </c>
      <c r="J293" s="33" t="s">
        <v>214</v>
      </c>
      <c r="K293" s="33" t="s">
        <v>214</v>
      </c>
      <c r="L293" s="33"/>
      <c r="M293" s="33"/>
      <c r="N293" s="33"/>
      <c r="O293" s="33"/>
      <c r="P293" s="33"/>
      <c r="Q293" s="44" t="s">
        <v>1150</v>
      </c>
      <c r="R293" s="44"/>
      <c r="S293" s="33"/>
      <c r="T293" s="33" t="s">
        <v>40</v>
      </c>
      <c r="U293" s="33"/>
      <c r="V293" s="17" t="s">
        <v>40</v>
      </c>
      <c r="W293" s="17" t="s">
        <v>40</v>
      </c>
      <c r="X293" s="44"/>
      <c r="Y293" s="33"/>
      <c r="Z293" s="33"/>
      <c r="AA293" s="33">
        <v>0</v>
      </c>
      <c r="AB293" s="33">
        <v>0</v>
      </c>
      <c r="AC293" s="32">
        <v>44717.22</v>
      </c>
      <c r="AD293" s="12">
        <f t="shared" si="6"/>
        <v>0</v>
      </c>
      <c r="AE293" s="12">
        <f t="shared" si="7"/>
        <v>0</v>
      </c>
      <c r="AF293" s="44"/>
    </row>
    <row r="294" spans="1:32" ht="21.6" customHeight="1" x14ac:dyDescent="0.25">
      <c r="A294" s="8">
        <v>293</v>
      </c>
      <c r="B294" s="60">
        <v>46081</v>
      </c>
      <c r="C294" s="35">
        <v>0.65486111111111112</v>
      </c>
      <c r="D294" s="33" t="s">
        <v>601</v>
      </c>
      <c r="E294" s="11" t="s">
        <v>73</v>
      </c>
      <c r="F294" s="33" t="s">
        <v>891</v>
      </c>
      <c r="G294" s="33" t="s">
        <v>63</v>
      </c>
      <c r="H294" s="26" t="s">
        <v>49</v>
      </c>
      <c r="I294" s="26" t="s">
        <v>50</v>
      </c>
      <c r="J294" s="33" t="s">
        <v>110</v>
      </c>
      <c r="K294" s="33" t="s">
        <v>65</v>
      </c>
      <c r="L294" s="33"/>
      <c r="M294" s="33" t="s">
        <v>51</v>
      </c>
      <c r="N294" s="33" t="s">
        <v>34</v>
      </c>
      <c r="O294" s="33">
        <v>320</v>
      </c>
      <c r="P294" s="33" t="s">
        <v>1151</v>
      </c>
      <c r="Q294" s="44" t="s">
        <v>1152</v>
      </c>
      <c r="R294" s="44" t="s">
        <v>1153</v>
      </c>
      <c r="S294" s="33" t="s">
        <v>63</v>
      </c>
      <c r="T294" s="33" t="s">
        <v>40</v>
      </c>
      <c r="U294" s="33" t="s">
        <v>1154</v>
      </c>
      <c r="V294" s="33" t="s">
        <v>80</v>
      </c>
      <c r="W294" s="33" t="s">
        <v>80</v>
      </c>
      <c r="X294" s="44" t="s">
        <v>1155</v>
      </c>
      <c r="Y294" s="33" t="s">
        <v>648</v>
      </c>
      <c r="Z294" s="33" t="s">
        <v>123</v>
      </c>
      <c r="AA294" s="33">
        <v>0</v>
      </c>
      <c r="AB294" s="33">
        <v>0</v>
      </c>
      <c r="AC294" s="32">
        <v>44717.22</v>
      </c>
      <c r="AD294" s="12">
        <f t="shared" si="6"/>
        <v>0</v>
      </c>
      <c r="AE294" s="12">
        <f t="shared" si="7"/>
        <v>0</v>
      </c>
      <c r="AF294" s="44"/>
    </row>
    <row r="295" spans="1:32" ht="21.6" customHeight="1" x14ac:dyDescent="0.25">
      <c r="A295" s="8">
        <v>294</v>
      </c>
      <c r="B295" s="60">
        <v>46082</v>
      </c>
      <c r="C295" s="35">
        <v>0.3923611111111111</v>
      </c>
      <c r="D295" s="33" t="s">
        <v>601</v>
      </c>
      <c r="E295" s="11" t="s">
        <v>73</v>
      </c>
      <c r="F295" s="33" t="s">
        <v>891</v>
      </c>
      <c r="G295" s="33" t="s">
        <v>1125</v>
      </c>
      <c r="H295" s="26" t="s">
        <v>49</v>
      </c>
      <c r="I295" s="26" t="s">
        <v>50</v>
      </c>
      <c r="J295" s="33" t="s">
        <v>214</v>
      </c>
      <c r="K295" s="33" t="s">
        <v>559</v>
      </c>
      <c r="L295" s="33"/>
      <c r="M295" s="33"/>
      <c r="N295" s="33" t="s">
        <v>75</v>
      </c>
      <c r="O295" s="33"/>
      <c r="P295" s="33"/>
      <c r="Q295" s="44" t="s">
        <v>1156</v>
      </c>
      <c r="R295" s="44" t="s">
        <v>1157</v>
      </c>
      <c r="S295" s="33" t="s">
        <v>1125</v>
      </c>
      <c r="T295" s="33" t="s">
        <v>40</v>
      </c>
      <c r="U295" s="33" t="s">
        <v>1158</v>
      </c>
      <c r="V295" s="17" t="s">
        <v>40</v>
      </c>
      <c r="W295" s="17" t="s">
        <v>40</v>
      </c>
      <c r="X295" s="44"/>
      <c r="Y295" s="33" t="s">
        <v>632</v>
      </c>
      <c r="Z295" s="33" t="s">
        <v>123</v>
      </c>
      <c r="AA295" s="33">
        <v>0</v>
      </c>
      <c r="AB295" s="33">
        <v>0</v>
      </c>
      <c r="AC295" s="32">
        <v>44717.22</v>
      </c>
      <c r="AD295" s="12">
        <f t="shared" si="6"/>
        <v>0</v>
      </c>
      <c r="AE295" s="12">
        <f t="shared" si="7"/>
        <v>0</v>
      </c>
      <c r="AF295" s="44"/>
    </row>
    <row r="296" spans="1:32" ht="21.6" customHeight="1" x14ac:dyDescent="0.25">
      <c r="A296" s="8">
        <v>295</v>
      </c>
      <c r="B296" s="60">
        <v>46083</v>
      </c>
      <c r="C296" s="35">
        <v>0.875</v>
      </c>
      <c r="D296" s="33" t="s">
        <v>601</v>
      </c>
      <c r="E296" s="11" t="s">
        <v>73</v>
      </c>
      <c r="F296" s="33" t="s">
        <v>891</v>
      </c>
      <c r="G296" s="33" t="s">
        <v>63</v>
      </c>
      <c r="H296" s="26" t="s">
        <v>49</v>
      </c>
      <c r="I296" s="26" t="s">
        <v>50</v>
      </c>
      <c r="J296" s="33" t="s">
        <v>214</v>
      </c>
      <c r="K296" s="33" t="s">
        <v>559</v>
      </c>
      <c r="L296" s="33"/>
      <c r="M296" s="33" t="s">
        <v>1159</v>
      </c>
      <c r="N296" s="33"/>
      <c r="O296" s="33"/>
      <c r="P296" s="33"/>
      <c r="Q296" s="44" t="s">
        <v>1160</v>
      </c>
      <c r="R296" s="44" t="s">
        <v>1161</v>
      </c>
      <c r="S296" s="33" t="s">
        <v>63</v>
      </c>
      <c r="T296" s="33" t="s">
        <v>40</v>
      </c>
      <c r="U296" s="33" t="s">
        <v>1162</v>
      </c>
      <c r="V296" s="17" t="s">
        <v>40</v>
      </c>
      <c r="W296" s="17" t="s">
        <v>40</v>
      </c>
      <c r="X296" s="44"/>
      <c r="Y296" s="33" t="s">
        <v>801</v>
      </c>
      <c r="Z296" s="33" t="s">
        <v>59</v>
      </c>
      <c r="AA296" s="33">
        <v>0</v>
      </c>
      <c r="AB296" s="33">
        <v>0</v>
      </c>
      <c r="AC296" s="32">
        <v>44717.22</v>
      </c>
      <c r="AD296" s="12">
        <f t="shared" si="6"/>
        <v>0</v>
      </c>
      <c r="AE296" s="12">
        <f t="shared" si="7"/>
        <v>0</v>
      </c>
      <c r="AF296" s="44"/>
    </row>
    <row r="297" spans="1:32" ht="21.6" customHeight="1" x14ac:dyDescent="0.25">
      <c r="A297" s="8">
        <v>296</v>
      </c>
      <c r="B297" s="60">
        <v>46083</v>
      </c>
      <c r="C297" s="35">
        <v>0.91180555555555554</v>
      </c>
      <c r="D297" s="33" t="s">
        <v>601</v>
      </c>
      <c r="E297" s="11" t="s">
        <v>73</v>
      </c>
      <c r="F297" s="33" t="s">
        <v>891</v>
      </c>
      <c r="G297" s="33" t="s">
        <v>163</v>
      </c>
      <c r="H297" s="26" t="s">
        <v>49</v>
      </c>
      <c r="I297" s="26" t="s">
        <v>50</v>
      </c>
      <c r="J297" s="33" t="s">
        <v>214</v>
      </c>
      <c r="K297" s="33" t="s">
        <v>75</v>
      </c>
      <c r="L297" s="33"/>
      <c r="M297" s="33" t="s">
        <v>193</v>
      </c>
      <c r="N297" s="33"/>
      <c r="O297" s="33"/>
      <c r="P297" s="33"/>
      <c r="Q297" s="44" t="s">
        <v>1163</v>
      </c>
      <c r="R297" s="44"/>
      <c r="S297" s="33" t="s">
        <v>163</v>
      </c>
      <c r="T297" s="33" t="s">
        <v>40</v>
      </c>
      <c r="U297" s="33" t="s">
        <v>1162</v>
      </c>
      <c r="V297" s="17" t="s">
        <v>40</v>
      </c>
      <c r="W297" s="17" t="s">
        <v>40</v>
      </c>
      <c r="X297" s="44"/>
      <c r="Y297" s="33" t="s">
        <v>801</v>
      </c>
      <c r="Z297" s="33" t="s">
        <v>59</v>
      </c>
      <c r="AA297" s="33">
        <v>0</v>
      </c>
      <c r="AB297" s="33">
        <v>0</v>
      </c>
      <c r="AC297" s="32">
        <v>44717.22</v>
      </c>
      <c r="AD297" s="12">
        <f t="shared" si="6"/>
        <v>0</v>
      </c>
      <c r="AE297" s="12">
        <f t="shared" si="7"/>
        <v>0</v>
      </c>
      <c r="AF297" s="44"/>
    </row>
    <row r="298" spans="1:32" ht="21.6" customHeight="1" x14ac:dyDescent="0.25">
      <c r="A298" s="8">
        <v>297</v>
      </c>
      <c r="B298" s="60">
        <v>46084</v>
      </c>
      <c r="C298" s="35">
        <v>0.53263888888888888</v>
      </c>
      <c r="D298" s="33" t="s">
        <v>601</v>
      </c>
      <c r="E298" s="11" t="s">
        <v>73</v>
      </c>
      <c r="F298" s="33" t="s">
        <v>891</v>
      </c>
      <c r="G298" s="33" t="s">
        <v>63</v>
      </c>
      <c r="H298" s="26" t="s">
        <v>49</v>
      </c>
      <c r="I298" s="26" t="s">
        <v>50</v>
      </c>
      <c r="J298" s="33" t="s">
        <v>214</v>
      </c>
      <c r="K298" s="33" t="s">
        <v>833</v>
      </c>
      <c r="L298" s="33"/>
      <c r="M298" s="33" t="s">
        <v>1159</v>
      </c>
      <c r="N298" s="33"/>
      <c r="O298" s="33"/>
      <c r="P298" s="33"/>
      <c r="Q298" s="44" t="s">
        <v>1164</v>
      </c>
      <c r="R298" s="44" t="s">
        <v>1165</v>
      </c>
      <c r="S298" s="33" t="s">
        <v>63</v>
      </c>
      <c r="T298" s="33" t="s">
        <v>40</v>
      </c>
      <c r="U298" s="33" t="s">
        <v>1166</v>
      </c>
      <c r="V298" s="17" t="s">
        <v>40</v>
      </c>
      <c r="W298" s="17" t="s">
        <v>40</v>
      </c>
      <c r="X298" s="44"/>
      <c r="Y298" s="33" t="s">
        <v>1167</v>
      </c>
      <c r="Z298" s="33" t="s">
        <v>123</v>
      </c>
      <c r="AA298" s="33">
        <v>0</v>
      </c>
      <c r="AB298" s="33">
        <v>0</v>
      </c>
      <c r="AC298" s="32">
        <v>44717.22</v>
      </c>
      <c r="AD298" s="12">
        <f t="shared" si="6"/>
        <v>0</v>
      </c>
      <c r="AE298" s="12">
        <f t="shared" si="7"/>
        <v>0</v>
      </c>
      <c r="AF298" s="44"/>
    </row>
    <row r="299" spans="1:32" ht="21.6" customHeight="1" x14ac:dyDescent="0.25">
      <c r="A299" s="8">
        <v>298</v>
      </c>
      <c r="B299" s="60">
        <v>46084</v>
      </c>
      <c r="C299" s="35">
        <v>0.59791666666666665</v>
      </c>
      <c r="D299" s="33" t="s">
        <v>601</v>
      </c>
      <c r="E299" s="11" t="s">
        <v>73</v>
      </c>
      <c r="F299" s="33" t="s">
        <v>891</v>
      </c>
      <c r="G299" s="33" t="s">
        <v>63</v>
      </c>
      <c r="H299" s="26" t="s">
        <v>49</v>
      </c>
      <c r="I299" s="26" t="s">
        <v>50</v>
      </c>
      <c r="J299" s="43" t="s">
        <v>214</v>
      </c>
      <c r="K299" s="33" t="s">
        <v>559</v>
      </c>
      <c r="L299" s="33"/>
      <c r="M299" s="33" t="s">
        <v>430</v>
      </c>
      <c r="N299" s="33"/>
      <c r="O299" s="33"/>
      <c r="P299" s="33"/>
      <c r="Q299" s="44" t="s">
        <v>1168</v>
      </c>
      <c r="R299" s="44" t="s">
        <v>1169</v>
      </c>
      <c r="S299" s="33" t="s">
        <v>63</v>
      </c>
      <c r="T299" s="33" t="s">
        <v>40</v>
      </c>
      <c r="U299" s="33" t="s">
        <v>1170</v>
      </c>
      <c r="V299" s="17" t="s">
        <v>40</v>
      </c>
      <c r="W299" s="17" t="s">
        <v>40</v>
      </c>
      <c r="X299" s="44"/>
      <c r="Y299" s="33" t="s">
        <v>1171</v>
      </c>
      <c r="Z299" s="33" t="s">
        <v>123</v>
      </c>
      <c r="AA299" s="33">
        <v>0</v>
      </c>
      <c r="AB299" s="33">
        <v>0</v>
      </c>
      <c r="AC299" s="32">
        <v>44717.22</v>
      </c>
      <c r="AD299" s="12">
        <f t="shared" si="6"/>
        <v>0</v>
      </c>
      <c r="AE299" s="12">
        <f t="shared" si="7"/>
        <v>0</v>
      </c>
      <c r="AF299" s="44"/>
    </row>
    <row r="300" spans="1:32" ht="21.6" customHeight="1" x14ac:dyDescent="0.25">
      <c r="A300" s="8">
        <v>299</v>
      </c>
      <c r="B300" s="60">
        <v>46084</v>
      </c>
      <c r="C300" s="35">
        <v>0.61597222222222225</v>
      </c>
      <c r="D300" s="33" t="s">
        <v>601</v>
      </c>
      <c r="E300" s="11" t="s">
        <v>73</v>
      </c>
      <c r="F300" s="33" t="s">
        <v>891</v>
      </c>
      <c r="G300" s="33" t="s">
        <v>63</v>
      </c>
      <c r="H300" s="26" t="s">
        <v>49</v>
      </c>
      <c r="I300" s="26" t="s">
        <v>50</v>
      </c>
      <c r="J300" s="33" t="s">
        <v>214</v>
      </c>
      <c r="K300" s="33" t="s">
        <v>833</v>
      </c>
      <c r="L300" s="33"/>
      <c r="M300" s="33" t="s">
        <v>1159</v>
      </c>
      <c r="N300" s="33"/>
      <c r="O300" s="33"/>
      <c r="P300" s="33"/>
      <c r="Q300" s="44" t="s">
        <v>1164</v>
      </c>
      <c r="R300" s="44" t="s">
        <v>1172</v>
      </c>
      <c r="S300" s="33" t="s">
        <v>63</v>
      </c>
      <c r="T300" s="33" t="s">
        <v>40</v>
      </c>
      <c r="U300" s="33" t="s">
        <v>1173</v>
      </c>
      <c r="V300" s="17" t="s">
        <v>40</v>
      </c>
      <c r="W300" s="17" t="s">
        <v>40</v>
      </c>
      <c r="X300" s="44"/>
      <c r="Y300" s="33" t="s">
        <v>1167</v>
      </c>
      <c r="Z300" s="33" t="s">
        <v>123</v>
      </c>
      <c r="AA300" s="33">
        <v>0</v>
      </c>
      <c r="AB300" s="33">
        <v>0</v>
      </c>
      <c r="AC300" s="32">
        <v>44717.22</v>
      </c>
      <c r="AD300" s="12">
        <f t="shared" si="6"/>
        <v>0</v>
      </c>
      <c r="AE300" s="12">
        <f t="shared" si="7"/>
        <v>0</v>
      </c>
      <c r="AF300" s="44"/>
    </row>
    <row r="301" spans="1:32" ht="21.6" customHeight="1" x14ac:dyDescent="0.25">
      <c r="A301" s="8">
        <v>300</v>
      </c>
      <c r="B301" s="60">
        <v>46084</v>
      </c>
      <c r="C301" s="35">
        <v>0.74305555555555558</v>
      </c>
      <c r="D301" s="33" t="s">
        <v>616</v>
      </c>
      <c r="E301" s="11" t="s">
        <v>73</v>
      </c>
      <c r="F301" s="33" t="s">
        <v>617</v>
      </c>
      <c r="G301" s="33" t="s">
        <v>613</v>
      </c>
      <c r="H301" s="26" t="s">
        <v>49</v>
      </c>
      <c r="I301" s="26" t="s">
        <v>50</v>
      </c>
      <c r="J301" s="33" t="s">
        <v>110</v>
      </c>
      <c r="K301" s="33" t="s">
        <v>65</v>
      </c>
      <c r="L301" s="33"/>
      <c r="M301" s="33" t="s">
        <v>1113</v>
      </c>
      <c r="N301" s="33" t="s">
        <v>223</v>
      </c>
      <c r="O301" s="33">
        <v>2600</v>
      </c>
      <c r="P301" s="33" t="s">
        <v>1174</v>
      </c>
      <c r="Q301" s="44" t="s">
        <v>1175</v>
      </c>
      <c r="R301" s="44" t="s">
        <v>1040</v>
      </c>
      <c r="S301" s="33" t="s">
        <v>613</v>
      </c>
      <c r="T301" s="33" t="s">
        <v>40</v>
      </c>
      <c r="U301" s="33" t="s">
        <v>1093</v>
      </c>
      <c r="V301" s="33" t="s">
        <v>40</v>
      </c>
      <c r="W301" s="33" t="s">
        <v>40</v>
      </c>
      <c r="X301" s="44"/>
      <c r="Y301" s="33" t="s">
        <v>801</v>
      </c>
      <c r="Z301" s="33" t="s">
        <v>59</v>
      </c>
      <c r="AA301" s="62">
        <v>22.73</v>
      </c>
      <c r="AB301" s="33">
        <v>0</v>
      </c>
      <c r="AC301" s="32">
        <v>44717.22</v>
      </c>
      <c r="AD301" s="12">
        <v>63446</v>
      </c>
      <c r="AE301" s="12">
        <f t="shared" si="7"/>
        <v>0</v>
      </c>
      <c r="AF301" s="44" t="s">
        <v>1571</v>
      </c>
    </row>
    <row r="302" spans="1:32" ht="21.6" customHeight="1" x14ac:dyDescent="0.25">
      <c r="A302" s="8">
        <v>301</v>
      </c>
      <c r="B302" s="60">
        <v>46084</v>
      </c>
      <c r="C302" s="35">
        <v>0.74027777777777781</v>
      </c>
      <c r="D302" s="33" t="s">
        <v>616</v>
      </c>
      <c r="E302" s="11" t="s">
        <v>73</v>
      </c>
      <c r="F302" s="33" t="s">
        <v>617</v>
      </c>
      <c r="G302" s="33" t="s">
        <v>613</v>
      </c>
      <c r="H302" s="26" t="s">
        <v>49</v>
      </c>
      <c r="I302" s="26" t="s">
        <v>50</v>
      </c>
      <c r="J302" s="33" t="s">
        <v>64</v>
      </c>
      <c r="K302" s="33" t="s">
        <v>65</v>
      </c>
      <c r="L302" s="33"/>
      <c r="M302" s="33" t="s">
        <v>1113</v>
      </c>
      <c r="N302" s="33" t="s">
        <v>1176</v>
      </c>
      <c r="O302" s="33">
        <v>0</v>
      </c>
      <c r="P302" s="33" t="s">
        <v>1120</v>
      </c>
      <c r="Q302" s="44" t="s">
        <v>1177</v>
      </c>
      <c r="R302" s="44" t="s">
        <v>1178</v>
      </c>
      <c r="S302" s="33" t="s">
        <v>613</v>
      </c>
      <c r="T302" s="33" t="s">
        <v>40</v>
      </c>
      <c r="U302" s="33" t="s">
        <v>1093</v>
      </c>
      <c r="V302" s="33" t="s">
        <v>40</v>
      </c>
      <c r="W302" s="33" t="s">
        <v>40</v>
      </c>
      <c r="X302" s="44"/>
      <c r="Y302" s="33" t="s">
        <v>801</v>
      </c>
      <c r="Z302" s="33" t="s">
        <v>59</v>
      </c>
      <c r="AA302" s="11">
        <v>0</v>
      </c>
      <c r="AB302" s="11">
        <v>0</v>
      </c>
      <c r="AC302" s="32">
        <v>44717.22</v>
      </c>
      <c r="AD302" s="12">
        <f t="shared" si="6"/>
        <v>0</v>
      </c>
      <c r="AE302" s="12">
        <f t="shared" si="7"/>
        <v>0</v>
      </c>
      <c r="AF302" s="44" t="s">
        <v>1249</v>
      </c>
    </row>
    <row r="303" spans="1:32" ht="21.6" customHeight="1" x14ac:dyDescent="0.25">
      <c r="A303" s="8">
        <v>302</v>
      </c>
      <c r="B303" s="60">
        <v>46085</v>
      </c>
      <c r="C303" s="35">
        <v>4.1666666666666664E-2</v>
      </c>
      <c r="D303" s="33" t="s">
        <v>616</v>
      </c>
      <c r="E303" s="11" t="s">
        <v>73</v>
      </c>
      <c r="F303" s="33" t="s">
        <v>617</v>
      </c>
      <c r="G303" s="33" t="s">
        <v>613</v>
      </c>
      <c r="H303" s="26" t="s">
        <v>49</v>
      </c>
      <c r="I303" s="26" t="s">
        <v>50</v>
      </c>
      <c r="J303" s="33" t="s">
        <v>92</v>
      </c>
      <c r="K303" s="33" t="s">
        <v>75</v>
      </c>
      <c r="L303" s="33"/>
      <c r="M303" s="33" t="s">
        <v>1113</v>
      </c>
      <c r="N303" s="33" t="s">
        <v>75</v>
      </c>
      <c r="O303" s="33">
        <v>40</v>
      </c>
      <c r="P303" s="33" t="s">
        <v>1110</v>
      </c>
      <c r="Q303" s="44" t="s">
        <v>1179</v>
      </c>
      <c r="R303" s="44" t="s">
        <v>1180</v>
      </c>
      <c r="S303" s="33" t="s">
        <v>613</v>
      </c>
      <c r="T303" s="33" t="s">
        <v>40</v>
      </c>
      <c r="U303" s="33" t="s">
        <v>1181</v>
      </c>
      <c r="V303" s="33" t="s">
        <v>40</v>
      </c>
      <c r="W303" s="33" t="s">
        <v>40</v>
      </c>
      <c r="X303" s="44"/>
      <c r="Y303" s="33" t="s">
        <v>648</v>
      </c>
      <c r="Z303" s="33" t="s">
        <v>59</v>
      </c>
      <c r="AA303" s="33">
        <v>10</v>
      </c>
      <c r="AB303" s="33">
        <v>0</v>
      </c>
      <c r="AC303" s="32">
        <v>44717.22</v>
      </c>
      <c r="AD303" s="12">
        <f>AA303/24*AC303</f>
        <v>18632.175000000003</v>
      </c>
      <c r="AE303" s="12">
        <f>AB303/24*AC303</f>
        <v>0</v>
      </c>
      <c r="AF303" s="44" t="s">
        <v>1250</v>
      </c>
    </row>
    <row r="304" spans="1:32" ht="21.6" customHeight="1" x14ac:dyDescent="0.25">
      <c r="A304" s="8">
        <v>303</v>
      </c>
      <c r="B304" s="60">
        <v>46085</v>
      </c>
      <c r="C304" s="35">
        <v>0.58333333333333337</v>
      </c>
      <c r="D304" s="33" t="s">
        <v>601</v>
      </c>
      <c r="E304" s="11" t="s">
        <v>73</v>
      </c>
      <c r="F304" s="33" t="s">
        <v>891</v>
      </c>
      <c r="G304" s="33" t="s">
        <v>163</v>
      </c>
      <c r="H304" s="26" t="s">
        <v>49</v>
      </c>
      <c r="I304" s="26" t="s">
        <v>50</v>
      </c>
      <c r="J304" s="33" t="s">
        <v>214</v>
      </c>
      <c r="K304" s="33" t="s">
        <v>833</v>
      </c>
      <c r="L304" s="33"/>
      <c r="M304" s="33" t="s">
        <v>1182</v>
      </c>
      <c r="N304" s="33"/>
      <c r="O304" s="33"/>
      <c r="P304" s="33"/>
      <c r="Q304" s="44" t="s">
        <v>1183</v>
      </c>
      <c r="R304" s="44" t="s">
        <v>1184</v>
      </c>
      <c r="S304" s="33" t="s">
        <v>163</v>
      </c>
      <c r="T304" s="33" t="s">
        <v>40</v>
      </c>
      <c r="U304" s="33" t="s">
        <v>1173</v>
      </c>
      <c r="V304" s="17" t="s">
        <v>40</v>
      </c>
      <c r="W304" s="17" t="s">
        <v>40</v>
      </c>
      <c r="X304" s="44"/>
      <c r="Y304" s="33" t="s">
        <v>1167</v>
      </c>
      <c r="Z304" s="33" t="s">
        <v>123</v>
      </c>
      <c r="AA304" s="33">
        <v>0</v>
      </c>
      <c r="AB304" s="33">
        <v>0</v>
      </c>
      <c r="AC304" s="32">
        <v>44717.22</v>
      </c>
      <c r="AD304" s="12">
        <f t="shared" si="6"/>
        <v>0</v>
      </c>
      <c r="AE304" s="12">
        <f t="shared" si="7"/>
        <v>0</v>
      </c>
      <c r="AF304" s="44"/>
    </row>
    <row r="305" spans="1:32" ht="21.6" customHeight="1" x14ac:dyDescent="0.25">
      <c r="A305" s="8">
        <v>304</v>
      </c>
      <c r="B305" s="60">
        <v>46085</v>
      </c>
      <c r="C305" s="35">
        <v>0.60416666666666663</v>
      </c>
      <c r="D305" s="33" t="s">
        <v>601</v>
      </c>
      <c r="E305" s="11" t="s">
        <v>73</v>
      </c>
      <c r="F305" s="33" t="s">
        <v>891</v>
      </c>
      <c r="G305" s="33" t="s">
        <v>163</v>
      </c>
      <c r="H305" s="26" t="s">
        <v>49</v>
      </c>
      <c r="I305" s="26" t="s">
        <v>50</v>
      </c>
      <c r="J305" s="33" t="s">
        <v>92</v>
      </c>
      <c r="K305" s="33" t="s">
        <v>75</v>
      </c>
      <c r="L305" s="33"/>
      <c r="M305" s="33" t="s">
        <v>1058</v>
      </c>
      <c r="N305" s="33" t="s">
        <v>165</v>
      </c>
      <c r="O305" s="33">
        <v>150</v>
      </c>
      <c r="P305" s="33" t="s">
        <v>1185</v>
      </c>
      <c r="Q305" s="44" t="s">
        <v>1186</v>
      </c>
      <c r="R305" s="44" t="s">
        <v>1187</v>
      </c>
      <c r="S305" s="33" t="s">
        <v>163</v>
      </c>
      <c r="T305" s="33" t="s">
        <v>40</v>
      </c>
      <c r="U305" s="33" t="s">
        <v>1188</v>
      </c>
      <c r="V305" s="33" t="s">
        <v>40</v>
      </c>
      <c r="W305" s="33" t="s">
        <v>40</v>
      </c>
      <c r="X305" s="44" t="s">
        <v>1189</v>
      </c>
      <c r="Y305" s="33" t="s">
        <v>801</v>
      </c>
      <c r="Z305" s="33" t="s">
        <v>123</v>
      </c>
      <c r="AA305" s="33">
        <v>2</v>
      </c>
      <c r="AB305" s="33">
        <v>0</v>
      </c>
      <c r="AC305" s="32">
        <v>44717.22</v>
      </c>
      <c r="AD305" s="12">
        <f t="shared" si="6"/>
        <v>3726.4349999999999</v>
      </c>
      <c r="AE305" s="12">
        <f t="shared" si="7"/>
        <v>0</v>
      </c>
      <c r="AF305" s="44" t="s">
        <v>1251</v>
      </c>
    </row>
    <row r="306" spans="1:32" ht="21.6" customHeight="1" x14ac:dyDescent="0.25">
      <c r="A306" s="8">
        <v>305</v>
      </c>
      <c r="B306" s="60">
        <v>46085</v>
      </c>
      <c r="C306" s="35">
        <v>0.61944444444444446</v>
      </c>
      <c r="D306" s="33" t="s">
        <v>601</v>
      </c>
      <c r="E306" s="11" t="s">
        <v>73</v>
      </c>
      <c r="F306" s="33" t="s">
        <v>891</v>
      </c>
      <c r="G306" s="33" t="s">
        <v>163</v>
      </c>
      <c r="H306" s="26" t="s">
        <v>49</v>
      </c>
      <c r="I306" s="26" t="s">
        <v>50</v>
      </c>
      <c r="J306" s="33" t="s">
        <v>92</v>
      </c>
      <c r="K306" s="33" t="s">
        <v>75</v>
      </c>
      <c r="L306" s="33"/>
      <c r="M306" s="33" t="s">
        <v>170</v>
      </c>
      <c r="N306" s="33" t="s">
        <v>223</v>
      </c>
      <c r="O306" s="33">
        <v>3200</v>
      </c>
      <c r="P306" s="33" t="s">
        <v>1190</v>
      </c>
      <c r="Q306" s="44" t="s">
        <v>1191</v>
      </c>
      <c r="R306" s="44" t="s">
        <v>1192</v>
      </c>
      <c r="S306" s="33" t="s">
        <v>163</v>
      </c>
      <c r="T306" s="33" t="s">
        <v>40</v>
      </c>
      <c r="U306" s="33" t="s">
        <v>1193</v>
      </c>
      <c r="V306" s="33" t="s">
        <v>40</v>
      </c>
      <c r="W306" s="33" t="s">
        <v>40</v>
      </c>
      <c r="X306" s="44" t="s">
        <v>1194</v>
      </c>
      <c r="Y306" s="33" t="s">
        <v>801</v>
      </c>
      <c r="Z306" s="33" t="s">
        <v>123</v>
      </c>
      <c r="AA306" s="33">
        <v>4</v>
      </c>
      <c r="AB306" s="33">
        <v>0</v>
      </c>
      <c r="AC306" s="32">
        <v>44717.22</v>
      </c>
      <c r="AD306" s="12">
        <f t="shared" si="6"/>
        <v>7452.87</v>
      </c>
      <c r="AE306" s="12">
        <f t="shared" si="7"/>
        <v>0</v>
      </c>
      <c r="AF306" s="44" t="s">
        <v>1252</v>
      </c>
    </row>
    <row r="307" spans="1:32" ht="21.6" customHeight="1" x14ac:dyDescent="0.25">
      <c r="A307" s="8">
        <v>306</v>
      </c>
      <c r="B307" s="60">
        <v>46086</v>
      </c>
      <c r="C307" s="35">
        <v>0.96527777777777779</v>
      </c>
      <c r="D307" s="33" t="s">
        <v>601</v>
      </c>
      <c r="E307" s="11" t="s">
        <v>73</v>
      </c>
      <c r="F307" s="33" t="s">
        <v>891</v>
      </c>
      <c r="G307" s="33" t="s">
        <v>163</v>
      </c>
      <c r="H307" s="26" t="s">
        <v>49</v>
      </c>
      <c r="I307" s="26" t="s">
        <v>50</v>
      </c>
      <c r="J307" s="33" t="s">
        <v>64</v>
      </c>
      <c r="K307" s="33" t="s">
        <v>65</v>
      </c>
      <c r="L307" s="33"/>
      <c r="M307" s="33" t="s">
        <v>1113</v>
      </c>
      <c r="N307" s="33" t="s">
        <v>223</v>
      </c>
      <c r="O307" s="33">
        <v>3700</v>
      </c>
      <c r="P307" s="33" t="s">
        <v>1195</v>
      </c>
      <c r="Q307" s="44" t="s">
        <v>1196</v>
      </c>
      <c r="R307" s="44" t="s">
        <v>1197</v>
      </c>
      <c r="S307" s="33" t="s">
        <v>163</v>
      </c>
      <c r="T307" s="33" t="s">
        <v>40</v>
      </c>
      <c r="U307" s="33" t="s">
        <v>1198</v>
      </c>
      <c r="V307" s="33" t="s">
        <v>40</v>
      </c>
      <c r="W307" s="33" t="s">
        <v>40</v>
      </c>
      <c r="X307" s="44"/>
      <c r="Y307" s="33" t="s">
        <v>1199</v>
      </c>
      <c r="Z307" s="33" t="s">
        <v>59</v>
      </c>
      <c r="AA307" s="33">
        <v>0</v>
      </c>
      <c r="AB307" s="33">
        <v>0</v>
      </c>
      <c r="AC307" s="32">
        <v>44717.22</v>
      </c>
      <c r="AD307" s="12">
        <f t="shared" si="6"/>
        <v>0</v>
      </c>
      <c r="AE307" s="12">
        <f t="shared" si="7"/>
        <v>0</v>
      </c>
      <c r="AF307" s="44"/>
    </row>
    <row r="308" spans="1:32" ht="21.6" customHeight="1" x14ac:dyDescent="0.25">
      <c r="A308" s="8">
        <v>307</v>
      </c>
      <c r="B308" s="60">
        <v>46087</v>
      </c>
      <c r="C308" s="35">
        <v>0.11805555555555555</v>
      </c>
      <c r="D308" s="33" t="s">
        <v>601</v>
      </c>
      <c r="E308" s="11" t="s">
        <v>73</v>
      </c>
      <c r="F308" s="33" t="s">
        <v>891</v>
      </c>
      <c r="G308" s="33" t="s">
        <v>163</v>
      </c>
      <c r="H308" s="26" t="s">
        <v>49</v>
      </c>
      <c r="I308" s="26" t="s">
        <v>50</v>
      </c>
      <c r="J308" s="33" t="s">
        <v>92</v>
      </c>
      <c r="K308" s="33" t="s">
        <v>75</v>
      </c>
      <c r="L308" s="33"/>
      <c r="M308" s="33" t="s">
        <v>1200</v>
      </c>
      <c r="N308" s="33" t="s">
        <v>75</v>
      </c>
      <c r="O308" s="33">
        <v>20</v>
      </c>
      <c r="P308" s="33" t="s">
        <v>1201</v>
      </c>
      <c r="Q308" s="44" t="s">
        <v>1202</v>
      </c>
      <c r="R308" s="44" t="s">
        <v>1203</v>
      </c>
      <c r="S308" s="33" t="s">
        <v>163</v>
      </c>
      <c r="T308" s="33" t="s">
        <v>40</v>
      </c>
      <c r="U308" s="33" t="s">
        <v>1204</v>
      </c>
      <c r="V308" s="33" t="s">
        <v>40</v>
      </c>
      <c r="W308" s="33" t="s">
        <v>40</v>
      </c>
      <c r="X308" s="44" t="s">
        <v>1205</v>
      </c>
      <c r="Y308" s="33" t="s">
        <v>1199</v>
      </c>
      <c r="Z308" s="33" t="s">
        <v>59</v>
      </c>
      <c r="AA308" s="33">
        <v>1</v>
      </c>
      <c r="AB308" s="33">
        <v>0</v>
      </c>
      <c r="AC308" s="32">
        <v>44717.22</v>
      </c>
      <c r="AD308" s="12">
        <f>AA308/24*AC308</f>
        <v>1863.2175</v>
      </c>
      <c r="AE308" s="12">
        <f>AB308/24*AC308</f>
        <v>0</v>
      </c>
      <c r="AF308" s="44" t="s">
        <v>1253</v>
      </c>
    </row>
    <row r="309" spans="1:32" ht="21.6" customHeight="1" x14ac:dyDescent="0.25">
      <c r="A309" s="8">
        <v>308</v>
      </c>
      <c r="B309" s="60">
        <v>46088</v>
      </c>
      <c r="C309" s="35">
        <v>0.4909722222222222</v>
      </c>
      <c r="D309" s="33" t="s">
        <v>601</v>
      </c>
      <c r="E309" s="11" t="s">
        <v>73</v>
      </c>
      <c r="F309" s="33" t="s">
        <v>891</v>
      </c>
      <c r="G309" s="33" t="s">
        <v>163</v>
      </c>
      <c r="H309" s="26" t="s">
        <v>49</v>
      </c>
      <c r="I309" s="26" t="s">
        <v>50</v>
      </c>
      <c r="J309" s="33" t="s">
        <v>214</v>
      </c>
      <c r="K309" s="33" t="s">
        <v>193</v>
      </c>
      <c r="L309" s="33"/>
      <c r="M309" s="43" t="s">
        <v>1271</v>
      </c>
      <c r="N309" s="33"/>
      <c r="O309" s="33"/>
      <c r="P309" s="33"/>
      <c r="Q309" s="44" t="s">
        <v>1206</v>
      </c>
      <c r="R309" s="44" t="s">
        <v>1207</v>
      </c>
      <c r="S309" s="33" t="s">
        <v>163</v>
      </c>
      <c r="T309" s="33" t="s">
        <v>40</v>
      </c>
      <c r="U309" s="33" t="s">
        <v>1208</v>
      </c>
      <c r="V309" s="17" t="s">
        <v>40</v>
      </c>
      <c r="W309" s="17" t="s">
        <v>40</v>
      </c>
      <c r="X309" s="44" t="s">
        <v>1209</v>
      </c>
      <c r="Y309" s="33" t="s">
        <v>641</v>
      </c>
      <c r="Z309" s="33" t="s">
        <v>123</v>
      </c>
      <c r="AA309" s="33">
        <v>0</v>
      </c>
      <c r="AB309" s="33">
        <v>0</v>
      </c>
      <c r="AC309" s="32">
        <v>67000</v>
      </c>
      <c r="AD309" s="12">
        <f t="shared" si="6"/>
        <v>0</v>
      </c>
      <c r="AE309" s="12">
        <f t="shared" si="7"/>
        <v>0</v>
      </c>
      <c r="AF309" s="44" t="s">
        <v>1427</v>
      </c>
    </row>
    <row r="310" spans="1:32" ht="22.95" customHeight="1" x14ac:dyDescent="0.25">
      <c r="A310" s="8">
        <v>309</v>
      </c>
      <c r="B310" s="60">
        <v>46089</v>
      </c>
      <c r="C310" s="35">
        <v>0.1875</v>
      </c>
      <c r="D310" s="33" t="s">
        <v>616</v>
      </c>
      <c r="E310" s="11" t="s">
        <v>73</v>
      </c>
      <c r="F310" s="33" t="s">
        <v>617</v>
      </c>
      <c r="G310" s="33" t="s">
        <v>613</v>
      </c>
      <c r="H310" s="26" t="s">
        <v>49</v>
      </c>
      <c r="I310" s="26" t="s">
        <v>50</v>
      </c>
      <c r="J310" s="33" t="s">
        <v>92</v>
      </c>
      <c r="K310" s="33" t="s">
        <v>559</v>
      </c>
      <c r="L310" s="33"/>
      <c r="M310" s="33" t="s">
        <v>1113</v>
      </c>
      <c r="N310" s="33"/>
      <c r="O310" s="33"/>
      <c r="P310" s="33"/>
      <c r="Q310" s="44" t="s">
        <v>1210</v>
      </c>
      <c r="R310" s="44" t="s">
        <v>1211</v>
      </c>
      <c r="S310" s="33" t="s">
        <v>1125</v>
      </c>
      <c r="T310" s="33" t="s">
        <v>40</v>
      </c>
      <c r="U310" s="33" t="s">
        <v>884</v>
      </c>
      <c r="V310" s="33" t="s">
        <v>40</v>
      </c>
      <c r="W310" s="33" t="s">
        <v>80</v>
      </c>
      <c r="X310" s="44" t="s">
        <v>1212</v>
      </c>
      <c r="Y310" s="33" t="s">
        <v>632</v>
      </c>
      <c r="Z310" s="33" t="s">
        <v>72</v>
      </c>
      <c r="AA310" s="33">
        <v>0</v>
      </c>
      <c r="AB310" s="33">
        <v>0.5</v>
      </c>
      <c r="AC310" s="32">
        <v>67000</v>
      </c>
      <c r="AD310" s="12">
        <f t="shared" si="6"/>
        <v>0</v>
      </c>
      <c r="AE310" s="12">
        <f t="shared" si="7"/>
        <v>1395.8333333333333</v>
      </c>
      <c r="AF310" s="44" t="s">
        <v>1446</v>
      </c>
    </row>
    <row r="311" spans="1:32" ht="22.95" customHeight="1" x14ac:dyDescent="0.25">
      <c r="A311" s="8">
        <v>310</v>
      </c>
      <c r="B311" s="60">
        <v>46089</v>
      </c>
      <c r="C311" s="35">
        <v>0.29166666666666669</v>
      </c>
      <c r="D311" s="33" t="s">
        <v>601</v>
      </c>
      <c r="E311" s="11" t="s">
        <v>73</v>
      </c>
      <c r="F311" s="33" t="s">
        <v>891</v>
      </c>
      <c r="G311" s="33" t="s">
        <v>163</v>
      </c>
      <c r="H311" s="26" t="s">
        <v>49</v>
      </c>
      <c r="I311" s="26" t="s">
        <v>50</v>
      </c>
      <c r="J311" s="33" t="s">
        <v>92</v>
      </c>
      <c r="K311" s="33" t="s">
        <v>1126</v>
      </c>
      <c r="L311" s="33"/>
      <c r="M311" s="33" t="s">
        <v>983</v>
      </c>
      <c r="N311" s="33"/>
      <c r="O311" s="33"/>
      <c r="P311" s="33"/>
      <c r="Q311" s="44" t="s">
        <v>1213</v>
      </c>
      <c r="R311" s="44" t="s">
        <v>1214</v>
      </c>
      <c r="S311" s="33" t="s">
        <v>163</v>
      </c>
      <c r="T311" s="33" t="s">
        <v>40</v>
      </c>
      <c r="U311" s="33" t="s">
        <v>884</v>
      </c>
      <c r="V311" s="33" t="s">
        <v>40</v>
      </c>
      <c r="W311" s="33" t="s">
        <v>462</v>
      </c>
      <c r="X311" s="44" t="s">
        <v>1215</v>
      </c>
      <c r="Y311" s="33" t="s">
        <v>648</v>
      </c>
      <c r="Z311" s="33" t="s">
        <v>59</v>
      </c>
      <c r="AA311" s="33">
        <v>36</v>
      </c>
      <c r="AB311" s="33">
        <v>0</v>
      </c>
      <c r="AC311" s="32">
        <v>67000</v>
      </c>
      <c r="AD311" s="12">
        <f t="shared" si="6"/>
        <v>100500</v>
      </c>
      <c r="AE311" s="12">
        <f t="shared" si="7"/>
        <v>0</v>
      </c>
      <c r="AF311" s="44" t="s">
        <v>1258</v>
      </c>
    </row>
    <row r="312" spans="1:32" ht="22.95" customHeight="1" x14ac:dyDescent="0.25">
      <c r="A312" s="8">
        <v>311</v>
      </c>
      <c r="B312" s="60">
        <v>46091</v>
      </c>
      <c r="C312" s="35">
        <v>0.13541666666666666</v>
      </c>
      <c r="D312" s="33" t="s">
        <v>601</v>
      </c>
      <c r="E312" s="11" t="s">
        <v>73</v>
      </c>
      <c r="F312" s="33" t="s">
        <v>891</v>
      </c>
      <c r="G312" s="33" t="s">
        <v>1125</v>
      </c>
      <c r="H312" s="26" t="s">
        <v>49</v>
      </c>
      <c r="I312" s="26" t="s">
        <v>50</v>
      </c>
      <c r="J312" s="33" t="s">
        <v>92</v>
      </c>
      <c r="K312" s="33" t="s">
        <v>559</v>
      </c>
      <c r="L312" s="33"/>
      <c r="M312" s="33" t="s">
        <v>1113</v>
      </c>
      <c r="N312" s="33"/>
      <c r="O312" s="33"/>
      <c r="P312" s="33"/>
      <c r="Q312" s="44" t="s">
        <v>1216</v>
      </c>
      <c r="R312" s="44" t="s">
        <v>1211</v>
      </c>
      <c r="S312" s="33" t="s">
        <v>1125</v>
      </c>
      <c r="T312" s="33" t="s">
        <v>40</v>
      </c>
      <c r="U312" s="33" t="s">
        <v>884</v>
      </c>
      <c r="V312" s="33" t="s">
        <v>462</v>
      </c>
      <c r="W312" s="33" t="s">
        <v>462</v>
      </c>
      <c r="X312" s="44" t="s">
        <v>1217</v>
      </c>
      <c r="Y312" s="33" t="s">
        <v>632</v>
      </c>
      <c r="Z312" s="33" t="s">
        <v>72</v>
      </c>
      <c r="AA312" s="33">
        <v>0.66</v>
      </c>
      <c r="AB312" s="33">
        <v>0</v>
      </c>
      <c r="AC312" s="32">
        <v>67000</v>
      </c>
      <c r="AD312" s="12">
        <f t="shared" si="6"/>
        <v>1842.5</v>
      </c>
      <c r="AE312" s="12">
        <f t="shared" si="7"/>
        <v>0</v>
      </c>
      <c r="AF312" s="44" t="s">
        <v>1445</v>
      </c>
    </row>
    <row r="313" spans="1:32" ht="40.200000000000003" customHeight="1" x14ac:dyDescent="0.25">
      <c r="A313" s="8">
        <v>312</v>
      </c>
      <c r="B313" s="60">
        <v>46091</v>
      </c>
      <c r="C313" s="35">
        <v>0.375</v>
      </c>
      <c r="D313" s="33" t="s">
        <v>747</v>
      </c>
      <c r="E313" s="11" t="s">
        <v>73</v>
      </c>
      <c r="F313" s="33" t="s">
        <v>1127</v>
      </c>
      <c r="G313" s="33" t="s">
        <v>1128</v>
      </c>
      <c r="H313" s="26" t="s">
        <v>49</v>
      </c>
      <c r="I313" s="26" t="s">
        <v>50</v>
      </c>
      <c r="J313" s="33" t="s">
        <v>92</v>
      </c>
      <c r="K313" s="33" t="s">
        <v>75</v>
      </c>
      <c r="L313" s="33"/>
      <c r="M313" s="33" t="s">
        <v>51</v>
      </c>
      <c r="N313" s="33" t="s">
        <v>165</v>
      </c>
      <c r="O313" s="33">
        <v>15</v>
      </c>
      <c r="P313" s="33" t="s">
        <v>1201</v>
      </c>
      <c r="Q313" s="44" t="s">
        <v>1218</v>
      </c>
      <c r="R313" s="44" t="s">
        <v>1219</v>
      </c>
      <c r="S313" s="33">
        <v>0.38750000000000001</v>
      </c>
      <c r="T313" s="33" t="s">
        <v>40</v>
      </c>
      <c r="U313" s="33" t="s">
        <v>884</v>
      </c>
      <c r="V313" s="33" t="s">
        <v>40</v>
      </c>
      <c r="W313" s="33" t="s">
        <v>80</v>
      </c>
      <c r="X313" s="44"/>
      <c r="Y313" s="33" t="s">
        <v>801</v>
      </c>
      <c r="Z313" s="33" t="s">
        <v>59</v>
      </c>
      <c r="AA313" s="33">
        <v>0</v>
      </c>
      <c r="AB313" s="33">
        <v>2</v>
      </c>
      <c r="AC313" s="32">
        <v>67000</v>
      </c>
      <c r="AD313" s="12">
        <f>AA313/24*AC313</f>
        <v>0</v>
      </c>
      <c r="AE313" s="12">
        <f t="shared" si="7"/>
        <v>5583.333333333333</v>
      </c>
      <c r="AF313" s="44" t="s">
        <v>1254</v>
      </c>
    </row>
    <row r="314" spans="1:32" ht="43.2" customHeight="1" x14ac:dyDescent="0.25">
      <c r="A314" s="8">
        <v>313</v>
      </c>
      <c r="B314" s="60">
        <v>46091</v>
      </c>
      <c r="C314" s="35">
        <v>0.8125</v>
      </c>
      <c r="D314" s="33" t="s">
        <v>585</v>
      </c>
      <c r="E314" s="11" t="s">
        <v>73</v>
      </c>
      <c r="F314" s="33" t="s">
        <v>1129</v>
      </c>
      <c r="G314" s="33" t="s">
        <v>48</v>
      </c>
      <c r="H314" s="26" t="s">
        <v>49</v>
      </c>
      <c r="I314" s="26" t="s">
        <v>50</v>
      </c>
      <c r="J314" s="33" t="s">
        <v>92</v>
      </c>
      <c r="K314" s="33" t="s">
        <v>75</v>
      </c>
      <c r="L314" s="33"/>
      <c r="M314" s="33" t="s">
        <v>1220</v>
      </c>
      <c r="N314" s="33" t="s">
        <v>313</v>
      </c>
      <c r="O314" s="33">
        <v>45</v>
      </c>
      <c r="P314" s="33" t="s">
        <v>1110</v>
      </c>
      <c r="Q314" s="44" t="s">
        <v>1221</v>
      </c>
      <c r="R314" s="44" t="s">
        <v>1222</v>
      </c>
      <c r="S314" s="33" t="s">
        <v>48</v>
      </c>
      <c r="T314" s="33" t="s">
        <v>40</v>
      </c>
      <c r="U314" s="33" t="s">
        <v>884</v>
      </c>
      <c r="V314" s="33" t="s">
        <v>40</v>
      </c>
      <c r="W314" s="33" t="s">
        <v>40</v>
      </c>
      <c r="X314" s="44" t="s">
        <v>1223</v>
      </c>
      <c r="Y314" s="33" t="s">
        <v>648</v>
      </c>
      <c r="Z314" s="33" t="s">
        <v>72</v>
      </c>
      <c r="AA314" s="33">
        <v>0</v>
      </c>
      <c r="AB314" s="33">
        <v>8</v>
      </c>
      <c r="AC314" s="32">
        <v>67000</v>
      </c>
      <c r="AD314" s="12">
        <f t="shared" si="6"/>
        <v>0</v>
      </c>
      <c r="AE314" s="12">
        <f t="shared" si="7"/>
        <v>22333.333333333332</v>
      </c>
      <c r="AF314" s="44" t="s">
        <v>1310</v>
      </c>
    </row>
    <row r="315" spans="1:32" ht="42.6" customHeight="1" x14ac:dyDescent="0.25">
      <c r="A315" s="8">
        <v>314</v>
      </c>
      <c r="B315" s="60">
        <v>46091</v>
      </c>
      <c r="C315" s="35">
        <v>0.81597222222222221</v>
      </c>
      <c r="D315" s="33" t="s">
        <v>747</v>
      </c>
      <c r="E315" s="11" t="s">
        <v>73</v>
      </c>
      <c r="F315" s="33" t="s">
        <v>1127</v>
      </c>
      <c r="G315" s="33" t="s">
        <v>1128</v>
      </c>
      <c r="H315" s="26" t="s">
        <v>49</v>
      </c>
      <c r="I315" s="26" t="s">
        <v>50</v>
      </c>
      <c r="J315" s="33" t="s">
        <v>92</v>
      </c>
      <c r="K315" s="33" t="s">
        <v>75</v>
      </c>
      <c r="L315" s="33"/>
      <c r="M315" s="33" t="s">
        <v>1237</v>
      </c>
      <c r="N315" s="33" t="s">
        <v>391</v>
      </c>
      <c r="O315" s="33">
        <v>7</v>
      </c>
      <c r="P315" s="33" t="s">
        <v>1224</v>
      </c>
      <c r="Q315" s="44" t="s">
        <v>1225</v>
      </c>
      <c r="R315" s="44" t="s">
        <v>1226</v>
      </c>
      <c r="S315" s="33" t="s">
        <v>1128</v>
      </c>
      <c r="T315" s="33" t="s">
        <v>40</v>
      </c>
      <c r="U315" s="33" t="s">
        <v>884</v>
      </c>
      <c r="V315" s="33" t="s">
        <v>40</v>
      </c>
      <c r="W315" s="33" t="s">
        <v>80</v>
      </c>
      <c r="X315" s="44" t="s">
        <v>1227</v>
      </c>
      <c r="Y315" s="33" t="s">
        <v>648</v>
      </c>
      <c r="Z315" s="33" t="s">
        <v>72</v>
      </c>
      <c r="AA315" s="33">
        <v>0</v>
      </c>
      <c r="AB315" s="33">
        <v>1.85</v>
      </c>
      <c r="AC315" s="32">
        <v>67000</v>
      </c>
      <c r="AD315" s="12">
        <f t="shared" si="6"/>
        <v>0</v>
      </c>
      <c r="AE315" s="12">
        <f t="shared" si="7"/>
        <v>5164.5833333333339</v>
      </c>
      <c r="AF315" s="44" t="s">
        <v>1255</v>
      </c>
    </row>
    <row r="316" spans="1:32" ht="22.95" customHeight="1" x14ac:dyDescent="0.25">
      <c r="A316" s="8">
        <v>315</v>
      </c>
      <c r="B316" s="60">
        <v>46092</v>
      </c>
      <c r="C316" s="35">
        <v>0.28125</v>
      </c>
      <c r="D316" s="33" t="s">
        <v>585</v>
      </c>
      <c r="E316" s="11" t="s">
        <v>73</v>
      </c>
      <c r="F316" s="33" t="s">
        <v>1129</v>
      </c>
      <c r="G316" s="33" t="s">
        <v>48</v>
      </c>
      <c r="H316" s="26" t="s">
        <v>49</v>
      </c>
      <c r="I316" s="26" t="s">
        <v>50</v>
      </c>
      <c r="J316" s="33" t="s">
        <v>92</v>
      </c>
      <c r="K316" s="33" t="s">
        <v>75</v>
      </c>
      <c r="L316" s="33"/>
      <c r="M316" s="33" t="s">
        <v>1237</v>
      </c>
      <c r="N316" s="33"/>
      <c r="O316" s="33"/>
      <c r="P316" s="33"/>
      <c r="Q316" s="44" t="s">
        <v>1228</v>
      </c>
      <c r="R316" s="44" t="s">
        <v>1229</v>
      </c>
      <c r="S316" s="33" t="s">
        <v>48</v>
      </c>
      <c r="T316" s="33" t="s">
        <v>40</v>
      </c>
      <c r="U316" s="33" t="s">
        <v>884</v>
      </c>
      <c r="V316" s="33" t="s">
        <v>40</v>
      </c>
      <c r="W316" s="33" t="s">
        <v>462</v>
      </c>
      <c r="X316" s="44" t="s">
        <v>1230</v>
      </c>
      <c r="Y316" s="33" t="s">
        <v>801</v>
      </c>
      <c r="Z316" s="33" t="s">
        <v>59</v>
      </c>
      <c r="AA316" s="33">
        <v>0</v>
      </c>
      <c r="AB316" s="33">
        <v>0</v>
      </c>
      <c r="AC316" s="32">
        <v>67000</v>
      </c>
      <c r="AD316" s="12">
        <f t="shared" si="6"/>
        <v>0</v>
      </c>
      <c r="AE316" s="12">
        <f t="shared" si="7"/>
        <v>0</v>
      </c>
      <c r="AF316" s="44" t="s">
        <v>1256</v>
      </c>
    </row>
    <row r="317" spans="1:32" ht="22.95" customHeight="1" x14ac:dyDescent="0.25">
      <c r="A317" s="8">
        <v>316</v>
      </c>
      <c r="B317" s="60">
        <v>46093</v>
      </c>
      <c r="C317" s="35">
        <v>1.0416666666666666E-2</v>
      </c>
      <c r="D317" s="33" t="s">
        <v>585</v>
      </c>
      <c r="E317" s="11" t="s">
        <v>73</v>
      </c>
      <c r="F317" s="33" t="s">
        <v>1129</v>
      </c>
      <c r="G317" s="33" t="s">
        <v>48</v>
      </c>
      <c r="H317" s="26" t="s">
        <v>49</v>
      </c>
      <c r="I317" s="26" t="s">
        <v>50</v>
      </c>
      <c r="J317" s="33" t="s">
        <v>92</v>
      </c>
      <c r="K317" s="33" t="s">
        <v>75</v>
      </c>
      <c r="L317" s="33"/>
      <c r="M317" s="33" t="s">
        <v>1237</v>
      </c>
      <c r="N317" s="33"/>
      <c r="O317" s="33"/>
      <c r="P317" s="33"/>
      <c r="Q317" s="44" t="s">
        <v>1231</v>
      </c>
      <c r="R317" s="44" t="s">
        <v>1232</v>
      </c>
      <c r="S317" s="33" t="s">
        <v>48</v>
      </c>
      <c r="T317" s="33" t="s">
        <v>40</v>
      </c>
      <c r="U317" s="33" t="s">
        <v>884</v>
      </c>
      <c r="V317" s="33" t="s">
        <v>40</v>
      </c>
      <c r="W317" s="33" t="s">
        <v>462</v>
      </c>
      <c r="X317" s="44" t="s">
        <v>1233</v>
      </c>
      <c r="Y317" s="33" t="s">
        <v>632</v>
      </c>
      <c r="Z317" s="33" t="s">
        <v>72</v>
      </c>
      <c r="AA317" s="33">
        <v>0</v>
      </c>
      <c r="AB317" s="33">
        <v>0</v>
      </c>
      <c r="AC317" s="32">
        <v>67000</v>
      </c>
      <c r="AD317" s="12">
        <f t="shared" si="6"/>
        <v>0</v>
      </c>
      <c r="AE317" s="12">
        <f t="shared" si="7"/>
        <v>0</v>
      </c>
      <c r="AF317" s="44" t="s">
        <v>1257</v>
      </c>
    </row>
    <row r="318" spans="1:32" ht="22.95" customHeight="1" x14ac:dyDescent="0.25">
      <c r="A318" s="8">
        <v>317</v>
      </c>
      <c r="B318" s="60">
        <v>46093</v>
      </c>
      <c r="C318" s="35">
        <v>0.49305555555555558</v>
      </c>
      <c r="D318" s="33" t="s">
        <v>585</v>
      </c>
      <c r="E318" s="11" t="s">
        <v>73</v>
      </c>
      <c r="F318" s="33" t="s">
        <v>1129</v>
      </c>
      <c r="G318" s="33" t="s">
        <v>48</v>
      </c>
      <c r="H318" s="26" t="s">
        <v>49</v>
      </c>
      <c r="I318" s="26" t="s">
        <v>50</v>
      </c>
      <c r="J318" s="33" t="s">
        <v>92</v>
      </c>
      <c r="K318" s="33" t="s">
        <v>75</v>
      </c>
      <c r="L318" s="33"/>
      <c r="M318" s="43" t="s">
        <v>1238</v>
      </c>
      <c r="N318" s="43" t="s">
        <v>1234</v>
      </c>
      <c r="O318" s="33">
        <v>10</v>
      </c>
      <c r="P318" s="33">
        <v>5</v>
      </c>
      <c r="Q318" s="53" t="s">
        <v>1235</v>
      </c>
      <c r="R318" s="44" t="s">
        <v>1236</v>
      </c>
      <c r="S318" s="33" t="s">
        <v>48</v>
      </c>
      <c r="T318" s="33" t="s">
        <v>462</v>
      </c>
      <c r="U318" s="33" t="s">
        <v>884</v>
      </c>
      <c r="V318" s="33" t="s">
        <v>40</v>
      </c>
      <c r="W318" s="33" t="s">
        <v>80</v>
      </c>
      <c r="X318" s="53" t="s">
        <v>1269</v>
      </c>
      <c r="Y318" s="43" t="s">
        <v>648</v>
      </c>
      <c r="Z318" s="43" t="s">
        <v>59</v>
      </c>
      <c r="AA318" s="33">
        <v>0</v>
      </c>
      <c r="AB318" s="33">
        <v>9.27</v>
      </c>
      <c r="AC318" s="32">
        <v>67000</v>
      </c>
      <c r="AD318" s="12">
        <f t="shared" si="6"/>
        <v>0</v>
      </c>
      <c r="AE318" s="12">
        <f t="shared" si="7"/>
        <v>25878.75</v>
      </c>
      <c r="AF318" s="53" t="s">
        <v>1270</v>
      </c>
    </row>
    <row r="319" spans="1:32" ht="48" customHeight="1" x14ac:dyDescent="0.25">
      <c r="A319" s="8">
        <v>318</v>
      </c>
      <c r="B319" s="60">
        <v>46093</v>
      </c>
      <c r="C319" s="35">
        <v>0.79166666666666663</v>
      </c>
      <c r="D319" s="33" t="s">
        <v>585</v>
      </c>
      <c r="E319" s="11" t="s">
        <v>73</v>
      </c>
      <c r="F319" s="33" t="s">
        <v>1129</v>
      </c>
      <c r="G319" s="33" t="s">
        <v>48</v>
      </c>
      <c r="H319" s="26" t="s">
        <v>49</v>
      </c>
      <c r="I319" s="26" t="s">
        <v>50</v>
      </c>
      <c r="J319" s="33" t="s">
        <v>92</v>
      </c>
      <c r="K319" s="33" t="s">
        <v>1126</v>
      </c>
      <c r="L319" s="33"/>
      <c r="M319" s="43" t="s">
        <v>1238</v>
      </c>
      <c r="N319" s="33"/>
      <c r="O319" s="33"/>
      <c r="P319" s="33"/>
      <c r="Q319" s="44" t="s">
        <v>1242</v>
      </c>
      <c r="R319" s="44" t="s">
        <v>1239</v>
      </c>
      <c r="S319" s="33" t="s">
        <v>48</v>
      </c>
      <c r="T319" s="33" t="s">
        <v>40</v>
      </c>
      <c r="U319" s="33" t="s">
        <v>884</v>
      </c>
      <c r="V319" s="33" t="s">
        <v>40</v>
      </c>
      <c r="W319" s="33" t="s">
        <v>40</v>
      </c>
      <c r="X319" s="44" t="s">
        <v>1230</v>
      </c>
      <c r="Y319" s="43" t="s">
        <v>648</v>
      </c>
      <c r="Z319" s="33" t="s">
        <v>72</v>
      </c>
      <c r="AA319" s="33">
        <v>0</v>
      </c>
      <c r="AB319" s="33">
        <v>0</v>
      </c>
      <c r="AC319" s="32">
        <v>67000</v>
      </c>
      <c r="AD319" s="12">
        <f t="shared" si="6"/>
        <v>0</v>
      </c>
      <c r="AE319" s="12">
        <f t="shared" si="7"/>
        <v>0</v>
      </c>
      <c r="AF319" s="53"/>
    </row>
    <row r="320" spans="1:32" ht="22.95" customHeight="1" x14ac:dyDescent="0.25">
      <c r="A320" s="8">
        <v>319</v>
      </c>
      <c r="B320" s="60">
        <v>46093</v>
      </c>
      <c r="C320" s="35">
        <v>0.89583333333333337</v>
      </c>
      <c r="D320" s="33" t="s">
        <v>585</v>
      </c>
      <c r="E320" s="11" t="s">
        <v>73</v>
      </c>
      <c r="F320" s="33" t="s">
        <v>1129</v>
      </c>
      <c r="G320" s="33" t="s">
        <v>48</v>
      </c>
      <c r="H320" s="26" t="s">
        <v>49</v>
      </c>
      <c r="I320" s="26" t="s">
        <v>50</v>
      </c>
      <c r="J320" s="33" t="s">
        <v>110</v>
      </c>
      <c r="K320" s="33" t="s">
        <v>32</v>
      </c>
      <c r="L320" s="33"/>
      <c r="M320" s="43" t="s">
        <v>1238</v>
      </c>
      <c r="N320" s="33" t="s">
        <v>1240</v>
      </c>
      <c r="O320" s="33">
        <v>205</v>
      </c>
      <c r="P320" s="33">
        <v>225</v>
      </c>
      <c r="Q320" s="44" t="s">
        <v>1247</v>
      </c>
      <c r="R320" s="44" t="s">
        <v>1241</v>
      </c>
      <c r="S320" s="33" t="s">
        <v>48</v>
      </c>
      <c r="T320" s="33" t="s">
        <v>40</v>
      </c>
      <c r="U320" s="33" t="s">
        <v>884</v>
      </c>
      <c r="V320" s="33" t="s">
        <v>40</v>
      </c>
      <c r="W320" s="33" t="s">
        <v>40</v>
      </c>
      <c r="X320" s="44" t="s">
        <v>1230</v>
      </c>
      <c r="Y320" s="33" t="s">
        <v>641</v>
      </c>
      <c r="Z320" s="33" t="s">
        <v>72</v>
      </c>
      <c r="AA320" s="33">
        <v>0</v>
      </c>
      <c r="AB320" s="33">
        <v>0</v>
      </c>
      <c r="AC320" s="32">
        <v>67000</v>
      </c>
      <c r="AD320" s="12">
        <f t="shared" si="6"/>
        <v>0</v>
      </c>
      <c r="AE320" s="12">
        <f>AB320/24*AC320</f>
        <v>0</v>
      </c>
      <c r="AF320" s="44"/>
    </row>
    <row r="321" spans="1:32" ht="22.95" customHeight="1" x14ac:dyDescent="0.25">
      <c r="A321" s="8">
        <v>320</v>
      </c>
      <c r="B321" s="60">
        <v>46094</v>
      </c>
      <c r="C321" s="35">
        <v>3.125E-2</v>
      </c>
      <c r="D321" s="33" t="s">
        <v>585</v>
      </c>
      <c r="E321" s="11" t="s">
        <v>73</v>
      </c>
      <c r="F321" s="33" t="s">
        <v>1129</v>
      </c>
      <c r="G321" s="33" t="s">
        <v>48</v>
      </c>
      <c r="H321" s="26" t="s">
        <v>49</v>
      </c>
      <c r="I321" s="26" t="s">
        <v>50</v>
      </c>
      <c r="J321" s="33" t="s">
        <v>92</v>
      </c>
      <c r="K321" s="33" t="s">
        <v>1126</v>
      </c>
      <c r="L321" s="33"/>
      <c r="M321" s="43" t="s">
        <v>1238</v>
      </c>
      <c r="N321" s="33"/>
      <c r="O321" s="33"/>
      <c r="P321" s="33"/>
      <c r="Q321" s="44" t="s">
        <v>1243</v>
      </c>
      <c r="R321" s="44" t="s">
        <v>1244</v>
      </c>
      <c r="S321" s="33" t="s">
        <v>48</v>
      </c>
      <c r="T321" s="33" t="s">
        <v>40</v>
      </c>
      <c r="U321" s="33" t="s">
        <v>884</v>
      </c>
      <c r="V321" s="33" t="s">
        <v>40</v>
      </c>
      <c r="W321" s="33" t="s">
        <v>40</v>
      </c>
      <c r="X321" s="44" t="s">
        <v>1230</v>
      </c>
      <c r="Y321" s="33" t="s">
        <v>641</v>
      </c>
      <c r="Z321" s="33" t="s">
        <v>72</v>
      </c>
      <c r="AA321" s="33">
        <v>7</v>
      </c>
      <c r="AB321" s="33">
        <v>0</v>
      </c>
      <c r="AC321" s="32">
        <v>67000</v>
      </c>
      <c r="AD321" s="12">
        <f t="shared" ref="AD321:AD323" si="8">AA321/24*AC321</f>
        <v>19541.666666666668</v>
      </c>
      <c r="AE321" s="12">
        <f t="shared" ref="AE321:AE323" si="9">AB321/24*AC321</f>
        <v>0</v>
      </c>
      <c r="AF321" s="53" t="s">
        <v>1311</v>
      </c>
    </row>
    <row r="322" spans="1:32" ht="22.95" customHeight="1" x14ac:dyDescent="0.25">
      <c r="A322" s="8">
        <v>321</v>
      </c>
      <c r="B322" s="60">
        <v>46094</v>
      </c>
      <c r="C322" s="35">
        <v>8.3333333333333329E-2</v>
      </c>
      <c r="D322" s="33" t="s">
        <v>747</v>
      </c>
      <c r="E322" s="11" t="s">
        <v>73</v>
      </c>
      <c r="F322" s="33" t="s">
        <v>1127</v>
      </c>
      <c r="G322" s="43" t="s">
        <v>553</v>
      </c>
      <c r="H322" s="26" t="s">
        <v>49</v>
      </c>
      <c r="I322" s="26" t="s">
        <v>50</v>
      </c>
      <c r="J322" s="33" t="s">
        <v>92</v>
      </c>
      <c r="K322" s="33" t="s">
        <v>75</v>
      </c>
      <c r="L322" s="33"/>
      <c r="M322" s="33" t="s">
        <v>1237</v>
      </c>
      <c r="N322" s="33" t="s">
        <v>313</v>
      </c>
      <c r="O322" s="33">
        <v>40</v>
      </c>
      <c r="P322" s="33">
        <v>18</v>
      </c>
      <c r="Q322" s="44" t="s">
        <v>1245</v>
      </c>
      <c r="R322" s="44" t="s">
        <v>1246</v>
      </c>
      <c r="S322" s="33" t="s">
        <v>553</v>
      </c>
      <c r="T322" s="33" t="s">
        <v>40</v>
      </c>
      <c r="U322" s="33" t="s">
        <v>884</v>
      </c>
      <c r="V322" s="33" t="s">
        <v>40</v>
      </c>
      <c r="W322" s="43" t="s">
        <v>80</v>
      </c>
      <c r="X322" s="53" t="s">
        <v>1268</v>
      </c>
      <c r="Y322" s="33" t="s">
        <v>641</v>
      </c>
      <c r="Z322" s="33" t="s">
        <v>72</v>
      </c>
      <c r="AA322" s="33">
        <v>0</v>
      </c>
      <c r="AB322" s="33">
        <v>0</v>
      </c>
      <c r="AC322" s="32">
        <v>67000</v>
      </c>
      <c r="AD322" s="12">
        <f t="shared" si="8"/>
        <v>0</v>
      </c>
      <c r="AE322" s="12">
        <f t="shared" si="9"/>
        <v>0</v>
      </c>
      <c r="AF322" s="44"/>
    </row>
    <row r="323" spans="1:32" ht="39.6" x14ac:dyDescent="0.25">
      <c r="A323" s="8">
        <v>322</v>
      </c>
      <c r="B323" s="60">
        <v>46094</v>
      </c>
      <c r="C323" s="35">
        <v>0.28125</v>
      </c>
      <c r="D323" s="33" t="s">
        <v>747</v>
      </c>
      <c r="E323" s="11" t="s">
        <v>73</v>
      </c>
      <c r="F323" s="33" t="s">
        <v>1127</v>
      </c>
      <c r="G323" s="43" t="s">
        <v>553</v>
      </c>
      <c r="H323" s="26" t="s">
        <v>49</v>
      </c>
      <c r="I323" s="26" t="s">
        <v>50</v>
      </c>
      <c r="J323" s="33" t="s">
        <v>92</v>
      </c>
      <c r="K323" s="33" t="s">
        <v>75</v>
      </c>
      <c r="L323" s="33"/>
      <c r="M323" s="33" t="s">
        <v>1237</v>
      </c>
      <c r="N323" s="43" t="s">
        <v>75</v>
      </c>
      <c r="O323" s="33">
        <v>20</v>
      </c>
      <c r="P323" s="33">
        <v>60</v>
      </c>
      <c r="Q323" s="53" t="s">
        <v>1267</v>
      </c>
      <c r="R323" s="44" t="s">
        <v>1248</v>
      </c>
      <c r="S323" s="33" t="s">
        <v>553</v>
      </c>
      <c r="T323" s="33" t="s">
        <v>40</v>
      </c>
      <c r="U323" s="33" t="s">
        <v>884</v>
      </c>
      <c r="V323" s="33" t="s">
        <v>40</v>
      </c>
      <c r="W323" s="43" t="s">
        <v>80</v>
      </c>
      <c r="X323" s="53" t="s">
        <v>1268</v>
      </c>
      <c r="Y323" s="33" t="s">
        <v>801</v>
      </c>
      <c r="Z323" s="43" t="s">
        <v>59</v>
      </c>
      <c r="AA323" s="43">
        <v>0</v>
      </c>
      <c r="AB323" s="43">
        <v>0</v>
      </c>
      <c r="AC323" s="32">
        <v>67000</v>
      </c>
      <c r="AD323" s="12">
        <f t="shared" si="8"/>
        <v>0</v>
      </c>
      <c r="AE323" s="12">
        <f t="shared" si="9"/>
        <v>0</v>
      </c>
      <c r="AF323" s="53"/>
    </row>
    <row r="324" spans="1:32" ht="23.4" customHeight="1" x14ac:dyDescent="0.25">
      <c r="A324" s="8">
        <v>323</v>
      </c>
      <c r="B324" s="60">
        <v>46094</v>
      </c>
      <c r="C324" s="35">
        <v>0.5625</v>
      </c>
      <c r="D324" s="33" t="s">
        <v>585</v>
      </c>
      <c r="E324" s="11" t="s">
        <v>73</v>
      </c>
      <c r="F324" s="33" t="s">
        <v>1129</v>
      </c>
      <c r="G324" s="43" t="s">
        <v>28</v>
      </c>
      <c r="H324" s="26" t="s">
        <v>49</v>
      </c>
      <c r="I324" s="26" t="s">
        <v>50</v>
      </c>
      <c r="J324" s="33" t="s">
        <v>214</v>
      </c>
      <c r="K324" s="33" t="s">
        <v>65</v>
      </c>
      <c r="L324" s="33"/>
      <c r="M324" s="33" t="s">
        <v>1220</v>
      </c>
      <c r="N324" s="43" t="s">
        <v>75</v>
      </c>
      <c r="O324" s="33">
        <v>300</v>
      </c>
      <c r="P324" s="33">
        <v>50</v>
      </c>
      <c r="Q324" s="53" t="s">
        <v>1297</v>
      </c>
      <c r="R324" s="44" t="s">
        <v>1298</v>
      </c>
      <c r="S324" s="33" t="s">
        <v>28</v>
      </c>
      <c r="T324" s="33" t="s">
        <v>40</v>
      </c>
      <c r="U324" s="33" t="s">
        <v>884</v>
      </c>
      <c r="V324" s="17" t="s">
        <v>40</v>
      </c>
      <c r="W324" s="17" t="s">
        <v>40</v>
      </c>
      <c r="X324" s="53" t="s">
        <v>1299</v>
      </c>
      <c r="Y324" s="33" t="s">
        <v>801</v>
      </c>
      <c r="Z324" s="43" t="s">
        <v>59</v>
      </c>
      <c r="AA324" s="43">
        <v>0</v>
      </c>
      <c r="AB324" s="43">
        <v>0</v>
      </c>
      <c r="AC324" s="32">
        <v>67000</v>
      </c>
      <c r="AD324" s="12">
        <f t="shared" ref="AD324:AD386" si="10">AA324/24*AC324</f>
        <v>0</v>
      </c>
      <c r="AE324" s="12">
        <f t="shared" ref="AE324" si="11">AB324/24*AC324</f>
        <v>0</v>
      </c>
      <c r="AF324" s="53"/>
    </row>
    <row r="325" spans="1:32" ht="22.95" customHeight="1" x14ac:dyDescent="0.25">
      <c r="A325" s="8">
        <v>324</v>
      </c>
      <c r="B325" s="60">
        <v>46095</v>
      </c>
      <c r="C325" s="35">
        <v>0.72916666666666663</v>
      </c>
      <c r="D325" s="33" t="s">
        <v>747</v>
      </c>
      <c r="E325" s="11" t="s">
        <v>73</v>
      </c>
      <c r="F325" s="33" t="s">
        <v>1127</v>
      </c>
      <c r="G325" s="43" t="s">
        <v>553</v>
      </c>
      <c r="H325" s="26" t="s">
        <v>49</v>
      </c>
      <c r="I325" s="26" t="s">
        <v>50</v>
      </c>
      <c r="J325" s="33" t="s">
        <v>92</v>
      </c>
      <c r="K325" s="33" t="s">
        <v>75</v>
      </c>
      <c r="L325" s="33"/>
      <c r="M325" s="33" t="s">
        <v>1237</v>
      </c>
      <c r="N325" s="43" t="s">
        <v>75</v>
      </c>
      <c r="O325" s="33">
        <v>30</v>
      </c>
      <c r="P325" s="33">
        <v>60</v>
      </c>
      <c r="Q325" s="44" t="s">
        <v>1272</v>
      </c>
      <c r="R325" s="44" t="s">
        <v>1274</v>
      </c>
      <c r="S325" s="33" t="s">
        <v>553</v>
      </c>
      <c r="T325" s="33" t="s">
        <v>40</v>
      </c>
      <c r="U325" s="33" t="s">
        <v>1273</v>
      </c>
      <c r="V325" s="33" t="s">
        <v>40</v>
      </c>
      <c r="W325" s="33" t="s">
        <v>80</v>
      </c>
      <c r="X325" s="53" t="s">
        <v>1275</v>
      </c>
      <c r="Y325" s="43" t="s">
        <v>648</v>
      </c>
      <c r="Z325" s="33" t="s">
        <v>72</v>
      </c>
      <c r="AA325" s="33">
        <v>0</v>
      </c>
      <c r="AB325" s="33">
        <v>3.75</v>
      </c>
      <c r="AC325" s="32">
        <v>67000</v>
      </c>
      <c r="AD325" s="12">
        <f>AA325/24*AC325</f>
        <v>0</v>
      </c>
      <c r="AE325" s="12">
        <f>AB325/24*AC325</f>
        <v>10468.75</v>
      </c>
      <c r="AF325" s="53" t="s">
        <v>1300</v>
      </c>
    </row>
    <row r="326" spans="1:32" ht="38.4" customHeight="1" x14ac:dyDescent="0.25">
      <c r="A326" s="8">
        <v>325</v>
      </c>
      <c r="B326" s="60">
        <v>46095</v>
      </c>
      <c r="C326" s="35">
        <v>0.80208333333333337</v>
      </c>
      <c r="D326" s="33" t="s">
        <v>747</v>
      </c>
      <c r="E326" s="11" t="s">
        <v>73</v>
      </c>
      <c r="F326" s="33" t="s">
        <v>1127</v>
      </c>
      <c r="G326" s="43" t="s">
        <v>553</v>
      </c>
      <c r="H326" s="26" t="s">
        <v>49</v>
      </c>
      <c r="I326" s="26" t="s">
        <v>50</v>
      </c>
      <c r="J326" s="33" t="s">
        <v>31</v>
      </c>
      <c r="K326" s="33" t="s">
        <v>65</v>
      </c>
      <c r="L326" s="33"/>
      <c r="M326" s="33" t="s">
        <v>318</v>
      </c>
      <c r="N326" s="33" t="s">
        <v>223</v>
      </c>
      <c r="O326" s="33">
        <v>1320</v>
      </c>
      <c r="P326" s="33">
        <v>1620</v>
      </c>
      <c r="Q326" s="44" t="s">
        <v>1276</v>
      </c>
      <c r="R326" s="44" t="s">
        <v>1277</v>
      </c>
      <c r="S326" s="33" t="s">
        <v>553</v>
      </c>
      <c r="T326" s="33" t="s">
        <v>40</v>
      </c>
      <c r="U326" s="33" t="s">
        <v>884</v>
      </c>
      <c r="V326" s="33" t="s">
        <v>40</v>
      </c>
      <c r="W326" s="33" t="s">
        <v>40</v>
      </c>
      <c r="X326" s="44" t="s">
        <v>1278</v>
      </c>
      <c r="Y326" s="43" t="s">
        <v>648</v>
      </c>
      <c r="Z326" s="33" t="s">
        <v>72</v>
      </c>
      <c r="AA326" s="33">
        <v>0</v>
      </c>
      <c r="AB326" s="33">
        <v>0</v>
      </c>
      <c r="AC326" s="32">
        <v>67000</v>
      </c>
      <c r="AD326" s="12">
        <f t="shared" si="10"/>
        <v>0</v>
      </c>
      <c r="AE326" s="12">
        <f t="shared" ref="AE326:AE350" si="12">AB326/24*AC326</f>
        <v>0</v>
      </c>
      <c r="AF326" s="44"/>
    </row>
    <row r="327" spans="1:32" ht="26.4" x14ac:dyDescent="0.25">
      <c r="A327" s="8">
        <v>326</v>
      </c>
      <c r="B327" s="60">
        <v>46096</v>
      </c>
      <c r="C327" s="35">
        <v>2.0833333333333332E-2</v>
      </c>
      <c r="D327" s="33" t="s">
        <v>747</v>
      </c>
      <c r="E327" s="11" t="s">
        <v>73</v>
      </c>
      <c r="F327" s="33" t="s">
        <v>1127</v>
      </c>
      <c r="G327" s="43" t="s">
        <v>553</v>
      </c>
      <c r="H327" s="26" t="s">
        <v>49</v>
      </c>
      <c r="I327" s="26" t="s">
        <v>50</v>
      </c>
      <c r="J327" s="33" t="s">
        <v>31</v>
      </c>
      <c r="K327" s="33" t="s">
        <v>65</v>
      </c>
      <c r="L327" s="33"/>
      <c r="M327" s="33" t="s">
        <v>318</v>
      </c>
      <c r="N327" s="33" t="s">
        <v>223</v>
      </c>
      <c r="O327" s="33">
        <v>1750</v>
      </c>
      <c r="P327" s="33">
        <v>2050</v>
      </c>
      <c r="Q327" s="44" t="s">
        <v>1279</v>
      </c>
      <c r="R327" s="44" t="s">
        <v>1280</v>
      </c>
      <c r="S327" s="33" t="s">
        <v>553</v>
      </c>
      <c r="T327" s="33" t="s">
        <v>40</v>
      </c>
      <c r="U327" s="33" t="s">
        <v>1281</v>
      </c>
      <c r="V327" s="33" t="s">
        <v>40</v>
      </c>
      <c r="W327" s="33" t="s">
        <v>80</v>
      </c>
      <c r="X327" s="44" t="s">
        <v>1282</v>
      </c>
      <c r="Y327" s="33" t="s">
        <v>641</v>
      </c>
      <c r="Z327" s="33" t="s">
        <v>72</v>
      </c>
      <c r="AA327" s="33">
        <v>0</v>
      </c>
      <c r="AB327" s="33">
        <v>0</v>
      </c>
      <c r="AC327" s="32">
        <v>67000</v>
      </c>
      <c r="AD327" s="12">
        <f t="shared" si="10"/>
        <v>0</v>
      </c>
      <c r="AE327" s="12">
        <f t="shared" si="12"/>
        <v>0</v>
      </c>
      <c r="AF327" s="44"/>
    </row>
    <row r="328" spans="1:32" ht="39.6" x14ac:dyDescent="0.25">
      <c r="A328" s="8">
        <v>327</v>
      </c>
      <c r="B328" s="60">
        <v>46096</v>
      </c>
      <c r="C328" s="35">
        <v>0.30208333333333331</v>
      </c>
      <c r="D328" s="43" t="s">
        <v>580</v>
      </c>
      <c r="E328" s="11" t="s">
        <v>73</v>
      </c>
      <c r="F328" s="43" t="s">
        <v>1283</v>
      </c>
      <c r="G328" s="43" t="s">
        <v>48</v>
      </c>
      <c r="H328" s="26" t="s">
        <v>49</v>
      </c>
      <c r="I328" s="26" t="s">
        <v>50</v>
      </c>
      <c r="J328" s="33" t="s">
        <v>92</v>
      </c>
      <c r="K328" s="33" t="s">
        <v>75</v>
      </c>
      <c r="L328" s="33"/>
      <c r="M328" s="43" t="s">
        <v>1284</v>
      </c>
      <c r="N328" s="43" t="s">
        <v>1285</v>
      </c>
      <c r="O328" s="33">
        <v>850</v>
      </c>
      <c r="P328" s="33">
        <v>1000</v>
      </c>
      <c r="Q328" s="53" t="s">
        <v>1286</v>
      </c>
      <c r="R328" s="53" t="s">
        <v>1287</v>
      </c>
      <c r="S328" s="43" t="s">
        <v>48</v>
      </c>
      <c r="T328" s="33" t="s">
        <v>40</v>
      </c>
      <c r="U328" s="33" t="s">
        <v>1281</v>
      </c>
      <c r="V328" s="33" t="s">
        <v>40</v>
      </c>
      <c r="W328" s="33" t="s">
        <v>462</v>
      </c>
      <c r="X328" s="49" t="s">
        <v>871</v>
      </c>
      <c r="Y328" s="33" t="s">
        <v>801</v>
      </c>
      <c r="Z328" s="43" t="s">
        <v>59</v>
      </c>
      <c r="AA328" s="33">
        <v>2.46</v>
      </c>
      <c r="AB328" s="33">
        <v>0</v>
      </c>
      <c r="AC328" s="32">
        <v>67000</v>
      </c>
      <c r="AD328" s="12">
        <f t="shared" si="10"/>
        <v>6867.5</v>
      </c>
      <c r="AE328" s="12">
        <f t="shared" si="12"/>
        <v>0</v>
      </c>
      <c r="AF328" s="44" t="s">
        <v>1312</v>
      </c>
    </row>
    <row r="329" spans="1:32" ht="39.6" x14ac:dyDescent="0.25">
      <c r="A329" s="8">
        <v>328</v>
      </c>
      <c r="B329" s="60">
        <v>46096</v>
      </c>
      <c r="C329" s="35">
        <v>0.75</v>
      </c>
      <c r="D329" s="33" t="s">
        <v>747</v>
      </c>
      <c r="E329" s="11" t="s">
        <v>73</v>
      </c>
      <c r="F329" s="33" t="s">
        <v>1127</v>
      </c>
      <c r="G329" s="43" t="s">
        <v>553</v>
      </c>
      <c r="H329" s="26" t="s">
        <v>49</v>
      </c>
      <c r="I329" s="26" t="s">
        <v>50</v>
      </c>
      <c r="J329" s="33" t="s">
        <v>92</v>
      </c>
      <c r="K329" s="33" t="s">
        <v>1126</v>
      </c>
      <c r="L329" s="33"/>
      <c r="M329" s="33" t="s">
        <v>983</v>
      </c>
      <c r="N329" s="33"/>
      <c r="O329" s="33"/>
      <c r="P329" s="33"/>
      <c r="Q329" s="44" t="s">
        <v>1288</v>
      </c>
      <c r="R329" s="44" t="s">
        <v>1239</v>
      </c>
      <c r="S329" s="33" t="s">
        <v>553</v>
      </c>
      <c r="T329" s="33" t="s">
        <v>40</v>
      </c>
      <c r="U329" s="33" t="s">
        <v>884</v>
      </c>
      <c r="V329" s="33" t="s">
        <v>40</v>
      </c>
      <c r="W329" s="33" t="s">
        <v>40</v>
      </c>
      <c r="X329" s="44" t="s">
        <v>1230</v>
      </c>
      <c r="Y329" s="33" t="s">
        <v>632</v>
      </c>
      <c r="Z329" s="33" t="s">
        <v>72</v>
      </c>
      <c r="AA329" s="33">
        <v>7</v>
      </c>
      <c r="AB329" s="33">
        <v>0</v>
      </c>
      <c r="AC329" s="32">
        <v>67000</v>
      </c>
      <c r="AD329" s="12">
        <f t="shared" si="10"/>
        <v>19541.666666666668</v>
      </c>
      <c r="AE329" s="12">
        <f t="shared" si="12"/>
        <v>0</v>
      </c>
      <c r="AF329" s="53" t="s">
        <v>1311</v>
      </c>
    </row>
    <row r="330" spans="1:32" ht="26.4" x14ac:dyDescent="0.25">
      <c r="A330" s="8">
        <v>329</v>
      </c>
      <c r="B330" s="60">
        <v>46096</v>
      </c>
      <c r="C330" s="35">
        <v>0.875</v>
      </c>
      <c r="D330" s="43" t="s">
        <v>580</v>
      </c>
      <c r="E330" s="11" t="s">
        <v>73</v>
      </c>
      <c r="F330" s="43" t="s">
        <v>1283</v>
      </c>
      <c r="G330" s="43" t="s">
        <v>48</v>
      </c>
      <c r="H330" s="26" t="s">
        <v>49</v>
      </c>
      <c r="I330" s="26" t="s">
        <v>50</v>
      </c>
      <c r="J330" s="33" t="s">
        <v>110</v>
      </c>
      <c r="K330" s="33" t="s">
        <v>65</v>
      </c>
      <c r="L330" s="33"/>
      <c r="M330" s="33" t="s">
        <v>318</v>
      </c>
      <c r="N330" s="33" t="s">
        <v>223</v>
      </c>
      <c r="O330" s="33">
        <v>990</v>
      </c>
      <c r="P330" s="33">
        <v>1000</v>
      </c>
      <c r="Q330" s="44" t="s">
        <v>1289</v>
      </c>
      <c r="R330" s="44" t="s">
        <v>1290</v>
      </c>
      <c r="S330" s="33" t="s">
        <v>48</v>
      </c>
      <c r="T330" s="33" t="s">
        <v>40</v>
      </c>
      <c r="U330" s="33" t="s">
        <v>884</v>
      </c>
      <c r="V330" s="33" t="s">
        <v>40</v>
      </c>
      <c r="W330" s="33" t="s">
        <v>40</v>
      </c>
      <c r="X330" s="44" t="s">
        <v>1230</v>
      </c>
      <c r="Y330" s="33" t="s">
        <v>632</v>
      </c>
      <c r="Z330" s="33" t="s">
        <v>72</v>
      </c>
      <c r="AA330" s="33">
        <v>0</v>
      </c>
      <c r="AB330" s="33">
        <v>0</v>
      </c>
      <c r="AC330" s="32">
        <v>67000</v>
      </c>
      <c r="AD330" s="12">
        <f t="shared" si="10"/>
        <v>0</v>
      </c>
      <c r="AE330" s="12">
        <f t="shared" si="12"/>
        <v>0</v>
      </c>
      <c r="AF330" s="44"/>
    </row>
    <row r="331" spans="1:32" ht="26.4" x14ac:dyDescent="0.25">
      <c r="A331" s="8">
        <v>330</v>
      </c>
      <c r="B331" s="60">
        <v>46097</v>
      </c>
      <c r="C331" s="35">
        <v>8.3333333333333329E-2</v>
      </c>
      <c r="D331" s="33" t="s">
        <v>585</v>
      </c>
      <c r="E331" s="11" t="s">
        <v>73</v>
      </c>
      <c r="F331" s="33" t="s">
        <v>1129</v>
      </c>
      <c r="G331" s="33" t="s">
        <v>28</v>
      </c>
      <c r="H331" s="26" t="s">
        <v>49</v>
      </c>
      <c r="I331" s="26" t="s">
        <v>50</v>
      </c>
      <c r="J331" s="33" t="s">
        <v>92</v>
      </c>
      <c r="K331" s="33" t="s">
        <v>75</v>
      </c>
      <c r="L331" s="33"/>
      <c r="M331" s="33" t="s">
        <v>318</v>
      </c>
      <c r="N331" s="33" t="s">
        <v>75</v>
      </c>
      <c r="O331" s="33">
        <v>100</v>
      </c>
      <c r="P331" s="33">
        <v>5</v>
      </c>
      <c r="Q331" s="44" t="s">
        <v>1291</v>
      </c>
      <c r="R331" s="44" t="s">
        <v>1292</v>
      </c>
      <c r="S331" s="33" t="s">
        <v>28</v>
      </c>
      <c r="T331" s="33" t="s">
        <v>40</v>
      </c>
      <c r="U331" s="33" t="s">
        <v>1281</v>
      </c>
      <c r="V331" s="33" t="s">
        <v>40</v>
      </c>
      <c r="W331" s="33" t="s">
        <v>40</v>
      </c>
      <c r="X331" s="44" t="s">
        <v>1293</v>
      </c>
      <c r="Y331" s="33" t="s">
        <v>641</v>
      </c>
      <c r="Z331" s="33" t="s">
        <v>72</v>
      </c>
      <c r="AA331" s="33">
        <v>0</v>
      </c>
      <c r="AB331" s="33">
        <v>0</v>
      </c>
      <c r="AC331" s="32">
        <v>67000</v>
      </c>
      <c r="AD331" s="12">
        <f t="shared" si="10"/>
        <v>0</v>
      </c>
      <c r="AE331" s="12">
        <f t="shared" si="12"/>
        <v>0</v>
      </c>
      <c r="AF331" s="44"/>
    </row>
    <row r="332" spans="1:32" ht="26.4" x14ac:dyDescent="0.25">
      <c r="A332" s="8">
        <v>331</v>
      </c>
      <c r="B332" s="60">
        <v>46097</v>
      </c>
      <c r="C332" s="35">
        <v>0.31111111111111112</v>
      </c>
      <c r="D332" s="33" t="s">
        <v>585</v>
      </c>
      <c r="E332" s="11" t="s">
        <v>73</v>
      </c>
      <c r="F332" s="33" t="s">
        <v>1129</v>
      </c>
      <c r="G332" s="33" t="s">
        <v>28</v>
      </c>
      <c r="H332" s="26" t="s">
        <v>49</v>
      </c>
      <c r="I332" s="26" t="s">
        <v>50</v>
      </c>
      <c r="J332" s="33" t="s">
        <v>92</v>
      </c>
      <c r="K332" s="33" t="s">
        <v>75</v>
      </c>
      <c r="L332" s="33"/>
      <c r="M332" s="43" t="s">
        <v>1284</v>
      </c>
      <c r="N332" s="33" t="s">
        <v>75</v>
      </c>
      <c r="O332" s="33">
        <v>350</v>
      </c>
      <c r="P332" s="33">
        <v>300</v>
      </c>
      <c r="Q332" s="44" t="s">
        <v>1294</v>
      </c>
      <c r="R332" s="44" t="s">
        <v>1295</v>
      </c>
      <c r="S332" s="33" t="s">
        <v>28</v>
      </c>
      <c r="T332" s="33" t="s">
        <v>40</v>
      </c>
      <c r="U332" s="33" t="s">
        <v>1281</v>
      </c>
      <c r="V332" s="33" t="s">
        <v>40</v>
      </c>
      <c r="W332" s="33" t="s">
        <v>40</v>
      </c>
      <c r="X332" s="44" t="s">
        <v>1296</v>
      </c>
      <c r="Y332" s="33" t="s">
        <v>641</v>
      </c>
      <c r="Z332" s="33" t="s">
        <v>59</v>
      </c>
      <c r="AA332" s="43">
        <v>0</v>
      </c>
      <c r="AB332" s="43">
        <v>0</v>
      </c>
      <c r="AC332" s="32">
        <v>67000</v>
      </c>
      <c r="AD332" s="12">
        <f t="shared" si="10"/>
        <v>0</v>
      </c>
      <c r="AE332" s="12">
        <f t="shared" si="12"/>
        <v>0</v>
      </c>
      <c r="AF332" s="53"/>
    </row>
    <row r="333" spans="1:32" ht="26.4" x14ac:dyDescent="0.25">
      <c r="A333" s="8">
        <v>332</v>
      </c>
      <c r="B333" s="60">
        <v>46097</v>
      </c>
      <c r="C333" s="35">
        <v>0.5229166666666667</v>
      </c>
      <c r="D333" s="33" t="s">
        <v>585</v>
      </c>
      <c r="E333" s="11" t="s">
        <v>73</v>
      </c>
      <c r="F333" s="33" t="s">
        <v>1129</v>
      </c>
      <c r="G333" s="33" t="s">
        <v>28</v>
      </c>
      <c r="H333" s="26" t="s">
        <v>49</v>
      </c>
      <c r="I333" s="26" t="s">
        <v>50</v>
      </c>
      <c r="J333" s="33" t="s">
        <v>92</v>
      </c>
      <c r="K333" s="43" t="s">
        <v>559</v>
      </c>
      <c r="L333" s="33"/>
      <c r="M333" s="43" t="s">
        <v>1301</v>
      </c>
      <c r="N333" s="43" t="s">
        <v>1071</v>
      </c>
      <c r="O333" s="33">
        <v>4.43</v>
      </c>
      <c r="P333" s="33">
        <v>3.89</v>
      </c>
      <c r="Q333" s="53" t="s">
        <v>1302</v>
      </c>
      <c r="R333" s="53" t="s">
        <v>1303</v>
      </c>
      <c r="S333" s="33" t="s">
        <v>28</v>
      </c>
      <c r="T333" s="33" t="s">
        <v>40</v>
      </c>
      <c r="U333" s="43" t="s">
        <v>1304</v>
      </c>
      <c r="V333" s="33" t="s">
        <v>40</v>
      </c>
      <c r="W333" s="33" t="s">
        <v>40</v>
      </c>
      <c r="X333" s="53" t="s">
        <v>1305</v>
      </c>
      <c r="Y333" s="33" t="s">
        <v>801</v>
      </c>
      <c r="Z333" s="43" t="s">
        <v>59</v>
      </c>
      <c r="AA333" s="33">
        <v>0</v>
      </c>
      <c r="AB333" s="33">
        <v>0</v>
      </c>
      <c r="AC333" s="32">
        <v>67000</v>
      </c>
      <c r="AD333" s="12">
        <f t="shared" si="10"/>
        <v>0</v>
      </c>
      <c r="AE333" s="12">
        <f t="shared" si="12"/>
        <v>0</v>
      </c>
      <c r="AF333" s="44"/>
    </row>
    <row r="334" spans="1:32" ht="26.4" x14ac:dyDescent="0.25">
      <c r="A334" s="8">
        <v>333</v>
      </c>
      <c r="B334" s="60">
        <v>46097</v>
      </c>
      <c r="C334" s="35">
        <v>0.77083333333333337</v>
      </c>
      <c r="D334" s="33" t="s">
        <v>585</v>
      </c>
      <c r="E334" s="11" t="s">
        <v>73</v>
      </c>
      <c r="F334" s="33" t="s">
        <v>1129</v>
      </c>
      <c r="G334" s="33" t="s">
        <v>28</v>
      </c>
      <c r="H334" s="26" t="s">
        <v>49</v>
      </c>
      <c r="I334" s="26" t="s">
        <v>50</v>
      </c>
      <c r="J334" s="33" t="s">
        <v>92</v>
      </c>
      <c r="K334" s="33" t="s">
        <v>75</v>
      </c>
      <c r="L334" s="33"/>
      <c r="M334" s="33" t="s">
        <v>1237</v>
      </c>
      <c r="N334" s="33" t="s">
        <v>75</v>
      </c>
      <c r="O334" s="33">
        <v>200</v>
      </c>
      <c r="P334" s="33">
        <v>35</v>
      </c>
      <c r="Q334" s="44" t="s">
        <v>1306</v>
      </c>
      <c r="R334" s="44" t="s">
        <v>1316</v>
      </c>
      <c r="S334" s="33" t="s">
        <v>28</v>
      </c>
      <c r="T334" s="33" t="s">
        <v>40</v>
      </c>
      <c r="U334" s="33" t="s">
        <v>884</v>
      </c>
      <c r="V334" s="33" t="s">
        <v>40</v>
      </c>
      <c r="W334" s="33" t="s">
        <v>40</v>
      </c>
      <c r="X334" s="44" t="s">
        <v>1230</v>
      </c>
      <c r="Y334" s="33" t="s">
        <v>632</v>
      </c>
      <c r="Z334" s="33" t="s">
        <v>72</v>
      </c>
      <c r="AA334" s="33">
        <v>9.61</v>
      </c>
      <c r="AB334" s="33">
        <v>0</v>
      </c>
      <c r="AC334" s="32">
        <v>67000</v>
      </c>
      <c r="AD334" s="12">
        <f t="shared" si="10"/>
        <v>26827.916666666664</v>
      </c>
      <c r="AE334" s="12">
        <f t="shared" si="12"/>
        <v>0</v>
      </c>
      <c r="AF334" s="53" t="s">
        <v>1356</v>
      </c>
    </row>
    <row r="335" spans="1:32" ht="14.4" x14ac:dyDescent="0.25">
      <c r="A335" s="8">
        <v>334</v>
      </c>
      <c r="B335" s="60">
        <v>46097</v>
      </c>
      <c r="C335" s="35">
        <v>0.54166666666666663</v>
      </c>
      <c r="D335" s="33" t="s">
        <v>585</v>
      </c>
      <c r="E335" s="11" t="s">
        <v>73</v>
      </c>
      <c r="F335" s="33" t="s">
        <v>1129</v>
      </c>
      <c r="G335" s="33" t="s">
        <v>28</v>
      </c>
      <c r="H335" s="26" t="s">
        <v>49</v>
      </c>
      <c r="I335" s="26" t="s">
        <v>50</v>
      </c>
      <c r="J335" s="33" t="s">
        <v>92</v>
      </c>
      <c r="K335" s="43" t="s">
        <v>559</v>
      </c>
      <c r="L335" s="33"/>
      <c r="M335" s="33" t="s">
        <v>1313</v>
      </c>
      <c r="N335" s="33" t="s">
        <v>1071</v>
      </c>
      <c r="O335" s="33">
        <v>4</v>
      </c>
      <c r="P335" s="33">
        <v>5.5</v>
      </c>
      <c r="Q335" s="44" t="s">
        <v>1314</v>
      </c>
      <c r="R335" s="44" t="s">
        <v>1315</v>
      </c>
      <c r="S335" s="33" t="s">
        <v>28</v>
      </c>
      <c r="T335" s="33" t="s">
        <v>40</v>
      </c>
      <c r="U335" s="33" t="s">
        <v>884</v>
      </c>
      <c r="V335" s="33" t="s">
        <v>40</v>
      </c>
      <c r="W335" s="33" t="s">
        <v>40</v>
      </c>
      <c r="X335" s="44" t="s">
        <v>1230</v>
      </c>
      <c r="Y335" s="33" t="s">
        <v>801</v>
      </c>
      <c r="Z335" s="43" t="s">
        <v>59</v>
      </c>
      <c r="AA335" s="33">
        <v>0</v>
      </c>
      <c r="AB335" s="33">
        <v>0.5</v>
      </c>
      <c r="AC335" s="32">
        <v>67000</v>
      </c>
      <c r="AD335" s="12">
        <f t="shared" si="10"/>
        <v>0</v>
      </c>
      <c r="AE335" s="12">
        <f t="shared" si="12"/>
        <v>1395.8333333333333</v>
      </c>
      <c r="AF335" s="44" t="s">
        <v>1431</v>
      </c>
    </row>
    <row r="336" spans="1:32" ht="14.4" x14ac:dyDescent="0.25">
      <c r="A336" s="8">
        <v>335</v>
      </c>
      <c r="B336" s="60">
        <v>46097</v>
      </c>
      <c r="C336" s="35">
        <v>0.83333333333333337</v>
      </c>
      <c r="D336" s="43" t="s">
        <v>580</v>
      </c>
      <c r="E336" s="11" t="s">
        <v>73</v>
      </c>
      <c r="F336" s="43" t="s">
        <v>1283</v>
      </c>
      <c r="G336" s="43" t="s">
        <v>48</v>
      </c>
      <c r="H336" s="26" t="s">
        <v>49</v>
      </c>
      <c r="I336" s="26" t="s">
        <v>50</v>
      </c>
      <c r="J336" s="33" t="s">
        <v>92</v>
      </c>
      <c r="K336" s="33" t="s">
        <v>1126</v>
      </c>
      <c r="L336" s="33"/>
      <c r="M336" s="33" t="s">
        <v>1318</v>
      </c>
      <c r="N336" s="33"/>
      <c r="O336" s="33"/>
      <c r="P336" s="33"/>
      <c r="Q336" s="44" t="s">
        <v>1309</v>
      </c>
      <c r="R336" s="44" t="s">
        <v>1317</v>
      </c>
      <c r="S336" s="33" t="s">
        <v>48</v>
      </c>
      <c r="T336" s="33" t="s">
        <v>40</v>
      </c>
      <c r="U336" s="33" t="s">
        <v>884</v>
      </c>
      <c r="V336" s="33" t="s">
        <v>40</v>
      </c>
      <c r="W336" s="33" t="s">
        <v>40</v>
      </c>
      <c r="X336" s="44" t="s">
        <v>1230</v>
      </c>
      <c r="Y336" s="33" t="s">
        <v>632</v>
      </c>
      <c r="Z336" s="33" t="s">
        <v>72</v>
      </c>
      <c r="AA336" s="33">
        <v>5</v>
      </c>
      <c r="AB336" s="33">
        <v>0</v>
      </c>
      <c r="AC336" s="32">
        <v>67000</v>
      </c>
      <c r="AD336" s="12">
        <f t="shared" si="10"/>
        <v>13958.333333333334</v>
      </c>
      <c r="AE336" s="12">
        <f t="shared" si="12"/>
        <v>0</v>
      </c>
      <c r="AF336" s="53" t="s">
        <v>1311</v>
      </c>
    </row>
    <row r="337" spans="1:32" ht="14.4" x14ac:dyDescent="0.25">
      <c r="A337" s="8">
        <v>336</v>
      </c>
      <c r="B337" s="60">
        <v>46097</v>
      </c>
      <c r="C337" s="35">
        <v>0.83333333333333337</v>
      </c>
      <c r="D337" s="43" t="s">
        <v>580</v>
      </c>
      <c r="E337" s="11" t="s">
        <v>73</v>
      </c>
      <c r="F337" s="43" t="s">
        <v>1283</v>
      </c>
      <c r="G337" s="43" t="s">
        <v>48</v>
      </c>
      <c r="H337" s="26" t="s">
        <v>49</v>
      </c>
      <c r="I337" s="26" t="s">
        <v>50</v>
      </c>
      <c r="J337" s="33" t="s">
        <v>214</v>
      </c>
      <c r="K337" s="33" t="s">
        <v>193</v>
      </c>
      <c r="L337" s="33"/>
      <c r="M337" s="33" t="s">
        <v>983</v>
      </c>
      <c r="N337" s="33"/>
      <c r="O337" s="33"/>
      <c r="P337" s="33"/>
      <c r="Q337" s="44" t="s">
        <v>1307</v>
      </c>
      <c r="R337" s="44" t="s">
        <v>1308</v>
      </c>
      <c r="S337" s="33" t="s">
        <v>48</v>
      </c>
      <c r="T337" s="33" t="s">
        <v>40</v>
      </c>
      <c r="U337" s="33" t="s">
        <v>884</v>
      </c>
      <c r="V337" s="17" t="s">
        <v>40</v>
      </c>
      <c r="W337" s="17" t="s">
        <v>40</v>
      </c>
      <c r="X337" s="44" t="s">
        <v>1230</v>
      </c>
      <c r="Y337" s="33" t="s">
        <v>632</v>
      </c>
      <c r="Z337" s="33" t="s">
        <v>72</v>
      </c>
      <c r="AA337" s="33">
        <v>0</v>
      </c>
      <c r="AB337" s="33">
        <v>0</v>
      </c>
      <c r="AC337" s="32">
        <v>67000</v>
      </c>
      <c r="AD337" s="12">
        <f t="shared" si="10"/>
        <v>0</v>
      </c>
      <c r="AE337" s="12">
        <f t="shared" si="12"/>
        <v>0</v>
      </c>
      <c r="AF337" s="44"/>
    </row>
    <row r="338" spans="1:32" ht="14.4" x14ac:dyDescent="0.25">
      <c r="A338" s="8">
        <v>337</v>
      </c>
      <c r="B338" s="60">
        <v>46098</v>
      </c>
      <c r="C338" s="35">
        <v>0.1875</v>
      </c>
      <c r="D338" s="33" t="s">
        <v>585</v>
      </c>
      <c r="E338" s="11" t="s">
        <v>73</v>
      </c>
      <c r="F338" s="33" t="s">
        <v>1129</v>
      </c>
      <c r="G338" s="33" t="s">
        <v>28</v>
      </c>
      <c r="H338" s="26" t="s">
        <v>49</v>
      </c>
      <c r="I338" s="26" t="s">
        <v>50</v>
      </c>
      <c r="J338" s="33" t="s">
        <v>92</v>
      </c>
      <c r="K338" s="33" t="s">
        <v>1126</v>
      </c>
      <c r="L338" s="33"/>
      <c r="M338" s="33" t="s">
        <v>1318</v>
      </c>
      <c r="N338" s="33"/>
      <c r="O338" s="33"/>
      <c r="P338" s="33"/>
      <c r="Q338" s="44" t="s">
        <v>1309</v>
      </c>
      <c r="R338" s="44" t="s">
        <v>1317</v>
      </c>
      <c r="S338" s="33" t="s">
        <v>28</v>
      </c>
      <c r="T338" s="33" t="s">
        <v>40</v>
      </c>
      <c r="U338" s="33" t="s">
        <v>884</v>
      </c>
      <c r="V338" s="33" t="s">
        <v>40</v>
      </c>
      <c r="W338" s="33" t="s">
        <v>40</v>
      </c>
      <c r="X338" s="44" t="s">
        <v>1230</v>
      </c>
      <c r="Y338" s="33" t="s">
        <v>641</v>
      </c>
      <c r="Z338" s="33" t="s">
        <v>72</v>
      </c>
      <c r="AA338" s="33">
        <v>8</v>
      </c>
      <c r="AB338" s="33">
        <v>0</v>
      </c>
      <c r="AC338" s="32">
        <v>67000</v>
      </c>
      <c r="AD338" s="12">
        <f>AA338/24*AC338</f>
        <v>22333.333333333332</v>
      </c>
      <c r="AE338" s="12">
        <f>AB338/24*AC338</f>
        <v>0</v>
      </c>
      <c r="AF338" s="53" t="s">
        <v>1311</v>
      </c>
    </row>
    <row r="339" spans="1:32" ht="14.4" x14ac:dyDescent="0.25">
      <c r="A339" s="8">
        <v>338</v>
      </c>
      <c r="B339" s="60">
        <v>46098</v>
      </c>
      <c r="C339" s="35">
        <v>0.1875</v>
      </c>
      <c r="D339" s="33" t="s">
        <v>585</v>
      </c>
      <c r="E339" s="11" t="s">
        <v>73</v>
      </c>
      <c r="F339" s="33" t="s">
        <v>1129</v>
      </c>
      <c r="G339" s="33" t="s">
        <v>28</v>
      </c>
      <c r="H339" s="26" t="s">
        <v>49</v>
      </c>
      <c r="I339" s="26" t="s">
        <v>50</v>
      </c>
      <c r="J339" s="33" t="s">
        <v>214</v>
      </c>
      <c r="K339" s="33" t="s">
        <v>193</v>
      </c>
      <c r="L339" s="33"/>
      <c r="M339" s="33" t="s">
        <v>983</v>
      </c>
      <c r="N339" s="33"/>
      <c r="O339" s="33"/>
      <c r="P339" s="33"/>
      <c r="Q339" s="44" t="s">
        <v>1307</v>
      </c>
      <c r="R339" s="44" t="s">
        <v>1308</v>
      </c>
      <c r="S339" s="33" t="s">
        <v>28</v>
      </c>
      <c r="T339" s="33" t="s">
        <v>40</v>
      </c>
      <c r="U339" s="33" t="s">
        <v>884</v>
      </c>
      <c r="V339" s="17" t="s">
        <v>40</v>
      </c>
      <c r="W339" s="17" t="s">
        <v>40</v>
      </c>
      <c r="X339" s="44" t="s">
        <v>1230</v>
      </c>
      <c r="Y339" s="33" t="s">
        <v>641</v>
      </c>
      <c r="Z339" s="33" t="s">
        <v>72</v>
      </c>
      <c r="AA339" s="33">
        <v>0</v>
      </c>
      <c r="AB339" s="33">
        <v>0</v>
      </c>
      <c r="AC339" s="32">
        <v>67000</v>
      </c>
      <c r="AD339" s="12">
        <f t="shared" si="10"/>
        <v>0</v>
      </c>
      <c r="AE339" s="12">
        <f t="shared" si="12"/>
        <v>0</v>
      </c>
      <c r="AF339" s="53" t="s">
        <v>1311</v>
      </c>
    </row>
    <row r="340" spans="1:32" ht="14.4" x14ac:dyDescent="0.25">
      <c r="A340" s="8">
        <v>339</v>
      </c>
      <c r="B340" s="60">
        <v>46099</v>
      </c>
      <c r="C340" s="35">
        <v>0.45833333333333331</v>
      </c>
      <c r="D340" s="43" t="s">
        <v>585</v>
      </c>
      <c r="E340" s="11" t="s">
        <v>73</v>
      </c>
      <c r="F340" s="33" t="s">
        <v>1129</v>
      </c>
      <c r="G340" s="33" t="s">
        <v>28</v>
      </c>
      <c r="H340" s="26" t="s">
        <v>49</v>
      </c>
      <c r="I340" s="26" t="s">
        <v>50</v>
      </c>
      <c r="J340" s="33" t="s">
        <v>214</v>
      </c>
      <c r="K340" s="33" t="s">
        <v>214</v>
      </c>
      <c r="L340" s="33"/>
      <c r="M340" s="43" t="s">
        <v>1054</v>
      </c>
      <c r="N340" s="33"/>
      <c r="O340" s="33"/>
      <c r="P340" s="33"/>
      <c r="Q340" s="53" t="s">
        <v>1319</v>
      </c>
      <c r="R340" s="53" t="s">
        <v>1320</v>
      </c>
      <c r="S340" s="33" t="s">
        <v>28</v>
      </c>
      <c r="T340" s="33" t="s">
        <v>40</v>
      </c>
      <c r="U340" s="43" t="s">
        <v>1321</v>
      </c>
      <c r="V340" s="17" t="s">
        <v>40</v>
      </c>
      <c r="W340" s="17" t="s">
        <v>40</v>
      </c>
      <c r="X340" s="44"/>
      <c r="Y340" s="43" t="s">
        <v>1322</v>
      </c>
      <c r="Z340" s="43" t="s">
        <v>59</v>
      </c>
      <c r="AA340" s="33">
        <v>0</v>
      </c>
      <c r="AB340" s="33">
        <v>0</v>
      </c>
      <c r="AC340" s="32">
        <v>67000</v>
      </c>
      <c r="AD340" s="12">
        <f t="shared" si="10"/>
        <v>0</v>
      </c>
      <c r="AE340" s="12">
        <f t="shared" si="12"/>
        <v>0</v>
      </c>
      <c r="AF340" s="53"/>
    </row>
    <row r="341" spans="1:32" ht="14.4" x14ac:dyDescent="0.25">
      <c r="A341" s="8">
        <v>340</v>
      </c>
      <c r="B341" s="60">
        <v>46100</v>
      </c>
      <c r="C341" s="35">
        <v>0.33333333333333331</v>
      </c>
      <c r="D341" s="43" t="s">
        <v>585</v>
      </c>
      <c r="E341" s="11" t="s">
        <v>73</v>
      </c>
      <c r="F341" s="33" t="s">
        <v>1129</v>
      </c>
      <c r="G341" s="33" t="s">
        <v>63</v>
      </c>
      <c r="H341" s="26" t="s">
        <v>49</v>
      </c>
      <c r="I341" s="26" t="s">
        <v>50</v>
      </c>
      <c r="J341" s="33" t="s">
        <v>92</v>
      </c>
      <c r="K341" s="33" t="s">
        <v>75</v>
      </c>
      <c r="L341" s="33"/>
      <c r="M341" s="43" t="s">
        <v>1338</v>
      </c>
      <c r="N341" s="33"/>
      <c r="O341" s="33"/>
      <c r="P341" s="33"/>
      <c r="Q341" s="53" t="s">
        <v>1334</v>
      </c>
      <c r="R341" s="53" t="s">
        <v>1335</v>
      </c>
      <c r="S341" s="33" t="s">
        <v>63</v>
      </c>
      <c r="T341" s="33" t="s">
        <v>40</v>
      </c>
      <c r="U341" s="33" t="s">
        <v>884</v>
      </c>
      <c r="V341" s="33" t="s">
        <v>40</v>
      </c>
      <c r="W341" s="33" t="s">
        <v>40</v>
      </c>
      <c r="X341" s="44" t="s">
        <v>1230</v>
      </c>
      <c r="Y341" s="43" t="s">
        <v>648</v>
      </c>
      <c r="Z341" s="43" t="s">
        <v>59</v>
      </c>
      <c r="AA341" s="33">
        <v>0</v>
      </c>
      <c r="AB341" s="33">
        <v>0</v>
      </c>
      <c r="AC341" s="32">
        <v>67000</v>
      </c>
      <c r="AD341" s="12">
        <f t="shared" si="10"/>
        <v>0</v>
      </c>
      <c r="AE341" s="12">
        <f t="shared" si="12"/>
        <v>0</v>
      </c>
      <c r="AF341" s="53"/>
    </row>
    <row r="342" spans="1:32" ht="14.4" x14ac:dyDescent="0.25">
      <c r="A342" s="8">
        <v>341</v>
      </c>
      <c r="B342" s="60">
        <v>46100</v>
      </c>
      <c r="C342" s="35">
        <v>0.79166666666666663</v>
      </c>
      <c r="D342" s="33" t="s">
        <v>747</v>
      </c>
      <c r="E342" s="11" t="s">
        <v>73</v>
      </c>
      <c r="F342" s="33" t="s">
        <v>1127</v>
      </c>
      <c r="G342" s="43" t="s">
        <v>48</v>
      </c>
      <c r="H342" s="26" t="s">
        <v>49</v>
      </c>
      <c r="I342" s="26" t="s">
        <v>50</v>
      </c>
      <c r="J342" s="33" t="s">
        <v>92</v>
      </c>
      <c r="K342" s="33" t="s">
        <v>559</v>
      </c>
      <c r="L342" s="33"/>
      <c r="M342" s="33" t="s">
        <v>1323</v>
      </c>
      <c r="N342" s="33" t="s">
        <v>1071</v>
      </c>
      <c r="O342" s="33">
        <v>4</v>
      </c>
      <c r="P342" s="33">
        <v>5</v>
      </c>
      <c r="Q342" s="44" t="s">
        <v>1324</v>
      </c>
      <c r="R342" s="44" t="s">
        <v>1325</v>
      </c>
      <c r="S342" s="33" t="s">
        <v>48</v>
      </c>
      <c r="T342" s="33" t="s">
        <v>40</v>
      </c>
      <c r="U342" s="33" t="s">
        <v>884</v>
      </c>
      <c r="V342" s="33" t="s">
        <v>40</v>
      </c>
      <c r="W342" s="33" t="s">
        <v>40</v>
      </c>
      <c r="X342" s="44" t="s">
        <v>1230</v>
      </c>
      <c r="Y342" s="33" t="s">
        <v>632</v>
      </c>
      <c r="Z342" s="33" t="s">
        <v>72</v>
      </c>
      <c r="AA342" s="33">
        <v>0</v>
      </c>
      <c r="AB342" s="33">
        <v>0.56999999999999995</v>
      </c>
      <c r="AC342" s="32">
        <v>67000</v>
      </c>
      <c r="AD342" s="12">
        <f t="shared" si="10"/>
        <v>0</v>
      </c>
      <c r="AE342" s="12">
        <f t="shared" si="12"/>
        <v>1591.2499999999998</v>
      </c>
      <c r="AF342" s="44" t="s">
        <v>1431</v>
      </c>
    </row>
    <row r="343" spans="1:32" ht="26.4" x14ac:dyDescent="0.25">
      <c r="A343" s="8">
        <v>342</v>
      </c>
      <c r="B343" s="60">
        <v>46100</v>
      </c>
      <c r="C343" s="35">
        <v>0.86458333333333337</v>
      </c>
      <c r="D343" s="43" t="s">
        <v>580</v>
      </c>
      <c r="E343" s="11" t="s">
        <v>73</v>
      </c>
      <c r="F343" s="43" t="s">
        <v>1283</v>
      </c>
      <c r="G343" s="43" t="s">
        <v>28</v>
      </c>
      <c r="H343" s="26" t="s">
        <v>49</v>
      </c>
      <c r="I343" s="26" t="s">
        <v>50</v>
      </c>
      <c r="J343" s="33" t="s">
        <v>92</v>
      </c>
      <c r="K343" s="33" t="s">
        <v>75</v>
      </c>
      <c r="L343" s="33"/>
      <c r="M343" s="33" t="s">
        <v>1323</v>
      </c>
      <c r="N343" s="33" t="s">
        <v>1326</v>
      </c>
      <c r="O343" s="33">
        <v>7.5</v>
      </c>
      <c r="P343" s="33">
        <v>4</v>
      </c>
      <c r="Q343" s="44" t="s">
        <v>1327</v>
      </c>
      <c r="R343" s="44" t="s">
        <v>1328</v>
      </c>
      <c r="S343" s="33" t="s">
        <v>28</v>
      </c>
      <c r="T343" s="33" t="s">
        <v>40</v>
      </c>
      <c r="U343" s="33" t="s">
        <v>884</v>
      </c>
      <c r="V343" s="33" t="s">
        <v>40</v>
      </c>
      <c r="W343" s="33" t="s">
        <v>40</v>
      </c>
      <c r="X343" s="44" t="s">
        <v>1230</v>
      </c>
      <c r="Y343" s="33" t="s">
        <v>632</v>
      </c>
      <c r="Z343" s="33" t="s">
        <v>72</v>
      </c>
      <c r="AA343" s="33">
        <v>14.8</v>
      </c>
      <c r="AB343" s="33">
        <v>0</v>
      </c>
      <c r="AC343" s="32">
        <v>67000</v>
      </c>
      <c r="AD343" s="12">
        <f t="shared" si="10"/>
        <v>41316.666666666672</v>
      </c>
      <c r="AE343" s="12">
        <f t="shared" si="12"/>
        <v>0</v>
      </c>
      <c r="AF343" s="53" t="s">
        <v>1344</v>
      </c>
    </row>
    <row r="344" spans="1:32" ht="26.4" x14ac:dyDescent="0.25">
      <c r="A344" s="8">
        <v>343</v>
      </c>
      <c r="B344" s="60">
        <v>46101</v>
      </c>
      <c r="C344" s="35">
        <v>8.3333333333333329E-2</v>
      </c>
      <c r="D344" s="43" t="s">
        <v>580</v>
      </c>
      <c r="E344" s="11" t="s">
        <v>73</v>
      </c>
      <c r="F344" s="43" t="s">
        <v>1283</v>
      </c>
      <c r="G344" s="43" t="s">
        <v>28</v>
      </c>
      <c r="H344" s="26" t="s">
        <v>49</v>
      </c>
      <c r="I344" s="26" t="s">
        <v>50</v>
      </c>
      <c r="J344" s="33" t="s">
        <v>110</v>
      </c>
      <c r="K344" s="33" t="s">
        <v>65</v>
      </c>
      <c r="L344" s="33"/>
      <c r="M344" s="33" t="s">
        <v>318</v>
      </c>
      <c r="N344" s="33" t="s">
        <v>223</v>
      </c>
      <c r="O344" s="33">
        <v>1000</v>
      </c>
      <c r="P344" s="33">
        <v>3000</v>
      </c>
      <c r="Q344" s="44" t="s">
        <v>1329</v>
      </c>
      <c r="R344" s="53" t="s">
        <v>1330</v>
      </c>
      <c r="S344" s="43" t="s">
        <v>28</v>
      </c>
      <c r="T344" s="33" t="s">
        <v>40</v>
      </c>
      <c r="U344" s="43" t="s">
        <v>1331</v>
      </c>
      <c r="V344" s="33" t="s">
        <v>40</v>
      </c>
      <c r="W344" s="33" t="s">
        <v>40</v>
      </c>
      <c r="X344" s="44" t="s">
        <v>1230</v>
      </c>
      <c r="Y344" s="33" t="s">
        <v>801</v>
      </c>
      <c r="Z344" s="33" t="s">
        <v>72</v>
      </c>
      <c r="AA344" s="33">
        <v>0</v>
      </c>
      <c r="AB344" s="33">
        <v>0</v>
      </c>
      <c r="AC344" s="32">
        <v>67000</v>
      </c>
      <c r="AD344" s="12">
        <f t="shared" si="10"/>
        <v>0</v>
      </c>
      <c r="AE344" s="12">
        <f t="shared" si="12"/>
        <v>0</v>
      </c>
      <c r="AF344" s="53"/>
    </row>
    <row r="345" spans="1:32" ht="14.4" x14ac:dyDescent="0.25">
      <c r="A345" s="8">
        <v>344</v>
      </c>
      <c r="B345" s="60">
        <v>46101</v>
      </c>
      <c r="C345" s="35">
        <v>0.90972222222222221</v>
      </c>
      <c r="D345" s="43" t="s">
        <v>585</v>
      </c>
      <c r="E345" s="11" t="s">
        <v>73</v>
      </c>
      <c r="F345" s="33" t="s">
        <v>1129</v>
      </c>
      <c r="G345" s="33" t="s">
        <v>63</v>
      </c>
      <c r="H345" s="26" t="s">
        <v>49</v>
      </c>
      <c r="I345" s="26" t="s">
        <v>50</v>
      </c>
      <c r="J345" s="33" t="s">
        <v>92</v>
      </c>
      <c r="K345" s="33" t="s">
        <v>75</v>
      </c>
      <c r="L345" s="33"/>
      <c r="M345" s="33" t="s">
        <v>1339</v>
      </c>
      <c r="N345" s="33" t="s">
        <v>75</v>
      </c>
      <c r="O345" s="33">
        <v>80</v>
      </c>
      <c r="P345" s="33">
        <v>130</v>
      </c>
      <c r="Q345" s="44" t="s">
        <v>1340</v>
      </c>
      <c r="R345" s="53" t="s">
        <v>1341</v>
      </c>
      <c r="S345" s="43" t="s">
        <v>63</v>
      </c>
      <c r="T345" s="33" t="s">
        <v>40</v>
      </c>
      <c r="U345" s="33" t="s">
        <v>884</v>
      </c>
      <c r="V345" s="33" t="s">
        <v>40</v>
      </c>
      <c r="W345" s="33" t="s">
        <v>40</v>
      </c>
      <c r="X345" s="44" t="s">
        <v>1230</v>
      </c>
      <c r="Y345" s="33" t="s">
        <v>632</v>
      </c>
      <c r="Z345" s="33" t="s">
        <v>72</v>
      </c>
      <c r="AA345" s="33">
        <v>0</v>
      </c>
      <c r="AB345" s="33">
        <v>0</v>
      </c>
      <c r="AC345" s="32">
        <v>67000</v>
      </c>
      <c r="AD345" s="12">
        <f t="shared" si="10"/>
        <v>0</v>
      </c>
      <c r="AE345" s="12">
        <f t="shared" si="12"/>
        <v>0</v>
      </c>
      <c r="AF345" s="44"/>
    </row>
    <row r="346" spans="1:32" ht="14.4" x14ac:dyDescent="0.25">
      <c r="A346" s="8">
        <v>345</v>
      </c>
      <c r="B346" s="60">
        <v>46102</v>
      </c>
      <c r="C346" s="35">
        <v>0.47916666666666669</v>
      </c>
      <c r="D346" s="43" t="s">
        <v>580</v>
      </c>
      <c r="E346" s="11" t="s">
        <v>73</v>
      </c>
      <c r="F346" s="43" t="s">
        <v>1283</v>
      </c>
      <c r="G346" s="43" t="s">
        <v>28</v>
      </c>
      <c r="H346" s="26" t="s">
        <v>49</v>
      </c>
      <c r="I346" s="26" t="s">
        <v>50</v>
      </c>
      <c r="J346" s="33" t="s">
        <v>92</v>
      </c>
      <c r="K346" s="33" t="s">
        <v>1126</v>
      </c>
      <c r="L346" s="33"/>
      <c r="M346" s="33" t="s">
        <v>983</v>
      </c>
      <c r="N346" s="33"/>
      <c r="O346" s="33"/>
      <c r="P346" s="33"/>
      <c r="Q346" s="44" t="s">
        <v>1332</v>
      </c>
      <c r="R346" s="44" t="s">
        <v>1333</v>
      </c>
      <c r="S346" s="33" t="s">
        <v>28</v>
      </c>
      <c r="T346" s="33" t="s">
        <v>40</v>
      </c>
      <c r="U346" s="33" t="s">
        <v>884</v>
      </c>
      <c r="V346" s="33" t="s">
        <v>40</v>
      </c>
      <c r="W346" s="33" t="s">
        <v>40</v>
      </c>
      <c r="X346" s="44" t="s">
        <v>1230</v>
      </c>
      <c r="Y346" s="43" t="s">
        <v>648</v>
      </c>
      <c r="Z346" s="43" t="s">
        <v>59</v>
      </c>
      <c r="AA346" s="33">
        <v>8</v>
      </c>
      <c r="AB346" s="33">
        <v>0</v>
      </c>
      <c r="AC346" s="32">
        <v>67000</v>
      </c>
      <c r="AD346" s="12">
        <f t="shared" ref="AD346:AD347" si="13">AA346/24*AC346</f>
        <v>22333.333333333332</v>
      </c>
      <c r="AE346" s="12">
        <f t="shared" ref="AE346:AE347" si="14">AB346/24*AC346</f>
        <v>0</v>
      </c>
      <c r="AF346" s="53" t="s">
        <v>1311</v>
      </c>
    </row>
    <row r="347" spans="1:32" ht="14.4" x14ac:dyDescent="0.25">
      <c r="A347" s="8">
        <v>346</v>
      </c>
      <c r="B347" s="60">
        <v>46102</v>
      </c>
      <c r="C347" s="35">
        <v>0.77083333333333337</v>
      </c>
      <c r="D347" s="33" t="s">
        <v>747</v>
      </c>
      <c r="E347" s="11" t="s">
        <v>73</v>
      </c>
      <c r="F347" s="33" t="s">
        <v>1127</v>
      </c>
      <c r="G347" s="43" t="s">
        <v>48</v>
      </c>
      <c r="H347" s="26" t="s">
        <v>49</v>
      </c>
      <c r="I347" s="26" t="s">
        <v>50</v>
      </c>
      <c r="J347" s="33" t="s">
        <v>92</v>
      </c>
      <c r="K347" s="33" t="s">
        <v>75</v>
      </c>
      <c r="L347" s="33"/>
      <c r="M347" s="43" t="s">
        <v>74</v>
      </c>
      <c r="N347" s="33" t="s">
        <v>75</v>
      </c>
      <c r="O347" s="33">
        <v>60</v>
      </c>
      <c r="P347" s="33">
        <v>35</v>
      </c>
      <c r="Q347" s="44" t="s">
        <v>1337</v>
      </c>
      <c r="R347" s="44" t="s">
        <v>1336</v>
      </c>
      <c r="S347" s="43" t="s">
        <v>48</v>
      </c>
      <c r="T347" s="33" t="s">
        <v>40</v>
      </c>
      <c r="U347" s="33" t="s">
        <v>1281</v>
      </c>
      <c r="V347" s="33" t="s">
        <v>40</v>
      </c>
      <c r="W347" s="43" t="s">
        <v>40</v>
      </c>
      <c r="X347" s="44" t="s">
        <v>1230</v>
      </c>
      <c r="Y347" s="33" t="s">
        <v>632</v>
      </c>
      <c r="Z347" s="33" t="s">
        <v>72</v>
      </c>
      <c r="AA347" s="33">
        <v>23.5</v>
      </c>
      <c r="AB347" s="33">
        <v>0</v>
      </c>
      <c r="AC347" s="32">
        <v>67000</v>
      </c>
      <c r="AD347" s="12">
        <f t="shared" si="13"/>
        <v>65604.166666666657</v>
      </c>
      <c r="AE347" s="12">
        <f t="shared" si="14"/>
        <v>0</v>
      </c>
      <c r="AF347" s="44" t="s">
        <v>1348</v>
      </c>
    </row>
    <row r="348" spans="1:32" ht="14.4" x14ac:dyDescent="0.25">
      <c r="A348" s="8">
        <v>347</v>
      </c>
      <c r="B348" s="60">
        <v>46102</v>
      </c>
      <c r="C348" s="35">
        <v>1.0416666666666666E-2</v>
      </c>
      <c r="D348" s="33" t="s">
        <v>747</v>
      </c>
      <c r="E348" s="11" t="s">
        <v>73</v>
      </c>
      <c r="F348" s="33" t="s">
        <v>1127</v>
      </c>
      <c r="G348" s="43" t="s">
        <v>48</v>
      </c>
      <c r="H348" s="26" t="s">
        <v>49</v>
      </c>
      <c r="I348" s="26" t="s">
        <v>50</v>
      </c>
      <c r="J348" s="33" t="s">
        <v>92</v>
      </c>
      <c r="K348" s="33" t="s">
        <v>1126</v>
      </c>
      <c r="L348" s="33"/>
      <c r="M348" s="33" t="s">
        <v>1318</v>
      </c>
      <c r="N348" s="33"/>
      <c r="O348" s="33"/>
      <c r="P348" s="33"/>
      <c r="Q348" s="44" t="s">
        <v>1309</v>
      </c>
      <c r="R348" s="44" t="s">
        <v>1317</v>
      </c>
      <c r="S348" s="33" t="s">
        <v>48</v>
      </c>
      <c r="T348" s="33" t="s">
        <v>40</v>
      </c>
      <c r="U348" s="33" t="s">
        <v>884</v>
      </c>
      <c r="V348" s="33" t="s">
        <v>40</v>
      </c>
      <c r="W348" s="33" t="s">
        <v>40</v>
      </c>
      <c r="X348" s="44" t="s">
        <v>1230</v>
      </c>
      <c r="Y348" s="33" t="s">
        <v>801</v>
      </c>
      <c r="Z348" s="33" t="s">
        <v>72</v>
      </c>
      <c r="AA348" s="33">
        <v>6</v>
      </c>
      <c r="AB348" s="33">
        <v>0</v>
      </c>
      <c r="AC348" s="32">
        <v>67000</v>
      </c>
      <c r="AD348" s="12">
        <f t="shared" si="10"/>
        <v>16750</v>
      </c>
      <c r="AE348" s="12">
        <f t="shared" si="12"/>
        <v>0</v>
      </c>
      <c r="AF348" s="53" t="s">
        <v>1311</v>
      </c>
    </row>
    <row r="349" spans="1:32" ht="14.4" x14ac:dyDescent="0.25">
      <c r="A349" s="8">
        <v>348</v>
      </c>
      <c r="B349" s="60">
        <v>46102</v>
      </c>
      <c r="C349" s="35">
        <v>1.0416666666666666E-2</v>
      </c>
      <c r="D349" s="33" t="s">
        <v>747</v>
      </c>
      <c r="E349" s="11" t="s">
        <v>73</v>
      </c>
      <c r="F349" s="33" t="s">
        <v>1127</v>
      </c>
      <c r="G349" s="43" t="s">
        <v>48</v>
      </c>
      <c r="H349" s="26" t="s">
        <v>49</v>
      </c>
      <c r="I349" s="26" t="s">
        <v>50</v>
      </c>
      <c r="J349" s="33" t="s">
        <v>92</v>
      </c>
      <c r="K349" s="33" t="s">
        <v>193</v>
      </c>
      <c r="L349" s="33"/>
      <c r="M349" s="33" t="s">
        <v>983</v>
      </c>
      <c r="N349" s="33"/>
      <c r="O349" s="33"/>
      <c r="P349" s="33"/>
      <c r="Q349" s="44" t="s">
        <v>1307</v>
      </c>
      <c r="R349" s="44" t="s">
        <v>1308</v>
      </c>
      <c r="S349" s="33" t="s">
        <v>48</v>
      </c>
      <c r="T349" s="33" t="s">
        <v>40</v>
      </c>
      <c r="U349" s="33" t="s">
        <v>884</v>
      </c>
      <c r="V349" s="33" t="s">
        <v>40</v>
      </c>
      <c r="W349" s="33" t="s">
        <v>40</v>
      </c>
      <c r="X349" s="44" t="s">
        <v>1230</v>
      </c>
      <c r="Y349" s="33" t="s">
        <v>801</v>
      </c>
      <c r="Z349" s="33" t="s">
        <v>72</v>
      </c>
      <c r="AA349" s="33">
        <v>0</v>
      </c>
      <c r="AB349" s="33">
        <v>0</v>
      </c>
      <c r="AC349" s="32">
        <v>67000</v>
      </c>
      <c r="AD349" s="12">
        <f t="shared" si="10"/>
        <v>0</v>
      </c>
      <c r="AE349" s="12">
        <f t="shared" si="12"/>
        <v>0</v>
      </c>
      <c r="AF349" s="44"/>
    </row>
    <row r="350" spans="1:32" ht="26.4" x14ac:dyDescent="0.25">
      <c r="A350" s="8">
        <v>349</v>
      </c>
      <c r="B350" s="60">
        <v>46102</v>
      </c>
      <c r="C350" s="35">
        <v>4.8611111111111112E-2</v>
      </c>
      <c r="D350" s="43" t="s">
        <v>585</v>
      </c>
      <c r="E350" s="11" t="s">
        <v>73</v>
      </c>
      <c r="F350" s="33" t="s">
        <v>1129</v>
      </c>
      <c r="G350" s="33" t="s">
        <v>63</v>
      </c>
      <c r="H350" s="26" t="s">
        <v>49</v>
      </c>
      <c r="I350" s="26" t="s">
        <v>50</v>
      </c>
      <c r="J350" s="33" t="s">
        <v>92</v>
      </c>
      <c r="K350" s="33" t="s">
        <v>75</v>
      </c>
      <c r="L350" s="33"/>
      <c r="M350" s="33" t="s">
        <v>1339</v>
      </c>
      <c r="N350" s="33" t="s">
        <v>391</v>
      </c>
      <c r="O350" s="33">
        <v>12</v>
      </c>
      <c r="P350" s="33">
        <v>18</v>
      </c>
      <c r="Q350" s="44" t="s">
        <v>1342</v>
      </c>
      <c r="R350" s="53" t="s">
        <v>1343</v>
      </c>
      <c r="S350" s="43" t="s">
        <v>63</v>
      </c>
      <c r="T350" s="33" t="s">
        <v>40</v>
      </c>
      <c r="U350" s="33" t="s">
        <v>884</v>
      </c>
      <c r="V350" s="33" t="s">
        <v>40</v>
      </c>
      <c r="W350" s="33" t="s">
        <v>40</v>
      </c>
      <c r="X350" s="44" t="s">
        <v>1230</v>
      </c>
      <c r="Y350" s="33" t="s">
        <v>801</v>
      </c>
      <c r="Z350" s="33" t="s">
        <v>72</v>
      </c>
      <c r="AA350" s="33">
        <v>0</v>
      </c>
      <c r="AB350" s="33">
        <v>0</v>
      </c>
      <c r="AC350" s="32">
        <v>67000</v>
      </c>
      <c r="AD350" s="12">
        <f t="shared" si="10"/>
        <v>0</v>
      </c>
      <c r="AE350" s="12">
        <f t="shared" si="12"/>
        <v>0</v>
      </c>
      <c r="AF350" s="44"/>
    </row>
    <row r="351" spans="1:32" ht="39.6" x14ac:dyDescent="0.25">
      <c r="A351" s="8">
        <v>350</v>
      </c>
      <c r="B351" s="60">
        <v>46102</v>
      </c>
      <c r="C351" s="35">
        <v>0.11805555555555555</v>
      </c>
      <c r="D351" s="43" t="s">
        <v>585</v>
      </c>
      <c r="E351" s="11" t="s">
        <v>73</v>
      </c>
      <c r="F351" s="33" t="s">
        <v>1129</v>
      </c>
      <c r="G351" s="33" t="s">
        <v>63</v>
      </c>
      <c r="H351" s="26" t="s">
        <v>49</v>
      </c>
      <c r="I351" s="26" t="s">
        <v>50</v>
      </c>
      <c r="J351" s="33" t="s">
        <v>31</v>
      </c>
      <c r="K351" s="33" t="s">
        <v>65</v>
      </c>
      <c r="L351" s="33"/>
      <c r="M351" s="33" t="s">
        <v>318</v>
      </c>
      <c r="N351" s="33" t="s">
        <v>223</v>
      </c>
      <c r="O351" s="33">
        <v>2400</v>
      </c>
      <c r="P351" s="33">
        <v>2130</v>
      </c>
      <c r="Q351" s="44" t="s">
        <v>1345</v>
      </c>
      <c r="R351" s="53" t="s">
        <v>1346</v>
      </c>
      <c r="S351" s="43" t="s">
        <v>63</v>
      </c>
      <c r="T351" s="33" t="s">
        <v>40</v>
      </c>
      <c r="U351" s="33" t="s">
        <v>884</v>
      </c>
      <c r="V351" s="33" t="s">
        <v>40</v>
      </c>
      <c r="W351" s="33" t="s">
        <v>40</v>
      </c>
      <c r="X351" s="44" t="s">
        <v>1347</v>
      </c>
      <c r="Y351" s="33" t="s">
        <v>801</v>
      </c>
      <c r="Z351" s="33" t="s">
        <v>72</v>
      </c>
      <c r="AA351" s="33">
        <v>0</v>
      </c>
      <c r="AB351" s="33">
        <v>0</v>
      </c>
      <c r="AC351" s="32">
        <v>67000</v>
      </c>
      <c r="AD351" s="12">
        <f t="shared" si="10"/>
        <v>0</v>
      </c>
      <c r="AE351" s="12">
        <f t="shared" ref="AE351:AE354" si="15">AB351/24*AC351</f>
        <v>0</v>
      </c>
      <c r="AF351" s="44"/>
    </row>
    <row r="352" spans="1:32" ht="26.4" x14ac:dyDescent="0.25">
      <c r="A352" s="8">
        <v>351</v>
      </c>
      <c r="B352" s="60">
        <v>46102</v>
      </c>
      <c r="C352" s="35">
        <v>0.33333333333333331</v>
      </c>
      <c r="D352" s="43" t="s">
        <v>585</v>
      </c>
      <c r="E352" s="11" t="s">
        <v>73</v>
      </c>
      <c r="F352" s="33" t="s">
        <v>1129</v>
      </c>
      <c r="G352" s="33" t="s">
        <v>63</v>
      </c>
      <c r="H352" s="26" t="s">
        <v>49</v>
      </c>
      <c r="I352" s="26" t="s">
        <v>50</v>
      </c>
      <c r="J352" s="33" t="s">
        <v>92</v>
      </c>
      <c r="K352" s="33" t="s">
        <v>75</v>
      </c>
      <c r="L352" s="33"/>
      <c r="M352" s="43" t="s">
        <v>74</v>
      </c>
      <c r="N352" s="43" t="s">
        <v>75</v>
      </c>
      <c r="O352" s="33">
        <v>150</v>
      </c>
      <c r="P352" s="33">
        <v>60</v>
      </c>
      <c r="Q352" s="53" t="s">
        <v>1349</v>
      </c>
      <c r="R352" s="53" t="s">
        <v>1350</v>
      </c>
      <c r="S352" s="43" t="s">
        <v>63</v>
      </c>
      <c r="T352" s="33" t="s">
        <v>40</v>
      </c>
      <c r="U352" s="33" t="s">
        <v>884</v>
      </c>
      <c r="V352" s="33" t="s">
        <v>40</v>
      </c>
      <c r="W352" s="33" t="s">
        <v>40</v>
      </c>
      <c r="X352" s="53" t="s">
        <v>1351</v>
      </c>
      <c r="Y352" s="43" t="s">
        <v>648</v>
      </c>
      <c r="Z352" s="43" t="s">
        <v>59</v>
      </c>
      <c r="AA352" s="33">
        <v>0</v>
      </c>
      <c r="AB352" s="33">
        <v>0</v>
      </c>
      <c r="AC352" s="32">
        <v>67000</v>
      </c>
      <c r="AD352" s="12">
        <f t="shared" si="10"/>
        <v>0</v>
      </c>
      <c r="AE352" s="12">
        <f t="shared" si="15"/>
        <v>0</v>
      </c>
      <c r="AF352" s="44"/>
    </row>
    <row r="353" spans="1:32" ht="14.4" x14ac:dyDescent="0.25">
      <c r="A353" s="8">
        <v>352</v>
      </c>
      <c r="B353" s="60">
        <v>46103</v>
      </c>
      <c r="C353" s="35">
        <v>0.75</v>
      </c>
      <c r="D353" s="43" t="s">
        <v>585</v>
      </c>
      <c r="E353" s="11" t="s">
        <v>73</v>
      </c>
      <c r="F353" s="33" t="s">
        <v>1129</v>
      </c>
      <c r="G353" s="33" t="s">
        <v>63</v>
      </c>
      <c r="H353" s="26" t="s">
        <v>49</v>
      </c>
      <c r="I353" s="26" t="s">
        <v>50</v>
      </c>
      <c r="J353" s="33" t="s">
        <v>92</v>
      </c>
      <c r="K353" s="43" t="s">
        <v>75</v>
      </c>
      <c r="L353" s="33"/>
      <c r="M353" s="43" t="s">
        <v>51</v>
      </c>
      <c r="N353" s="43" t="s">
        <v>1263</v>
      </c>
      <c r="O353" s="33">
        <v>150</v>
      </c>
      <c r="P353" s="33">
        <v>80</v>
      </c>
      <c r="Q353" s="53" t="s">
        <v>1352</v>
      </c>
      <c r="R353" s="53" t="s">
        <v>1353</v>
      </c>
      <c r="S353" s="43" t="s">
        <v>63</v>
      </c>
      <c r="T353" s="33" t="s">
        <v>40</v>
      </c>
      <c r="U353" s="33" t="s">
        <v>884</v>
      </c>
      <c r="V353" s="33" t="s">
        <v>40</v>
      </c>
      <c r="W353" s="33" t="s">
        <v>40</v>
      </c>
      <c r="X353" s="53" t="s">
        <v>1351</v>
      </c>
      <c r="Y353" s="43" t="s">
        <v>648</v>
      </c>
      <c r="Z353" s="43" t="s">
        <v>59</v>
      </c>
      <c r="AA353" s="33">
        <v>49.92</v>
      </c>
      <c r="AB353" s="33">
        <v>0</v>
      </c>
      <c r="AC353" s="32">
        <v>67000</v>
      </c>
      <c r="AD353" s="12">
        <f t="shared" si="10"/>
        <v>139360</v>
      </c>
      <c r="AE353" s="12">
        <f t="shared" si="15"/>
        <v>0</v>
      </c>
      <c r="AF353" s="53" t="s">
        <v>1372</v>
      </c>
    </row>
    <row r="354" spans="1:32" ht="14.4" x14ac:dyDescent="0.25">
      <c r="A354" s="8">
        <v>353</v>
      </c>
      <c r="B354" s="60">
        <v>46104</v>
      </c>
      <c r="C354" s="35">
        <v>5.9027777777777776E-2</v>
      </c>
      <c r="D354" s="33" t="s">
        <v>585</v>
      </c>
      <c r="E354" s="11" t="s">
        <v>73</v>
      </c>
      <c r="F354" s="33" t="s">
        <v>1129</v>
      </c>
      <c r="G354" s="43" t="s">
        <v>63</v>
      </c>
      <c r="H354" s="26" t="s">
        <v>49</v>
      </c>
      <c r="I354" s="26" t="s">
        <v>50</v>
      </c>
      <c r="J354" s="33" t="s">
        <v>92</v>
      </c>
      <c r="K354" s="33" t="s">
        <v>1126</v>
      </c>
      <c r="L354" s="33"/>
      <c r="M354" s="33" t="s">
        <v>1318</v>
      </c>
      <c r="N354" s="33"/>
      <c r="O354" s="33"/>
      <c r="P354" s="33"/>
      <c r="Q354" s="44" t="s">
        <v>1309</v>
      </c>
      <c r="R354" s="44" t="s">
        <v>1317</v>
      </c>
      <c r="S354" s="43" t="s">
        <v>63</v>
      </c>
      <c r="T354" s="33" t="s">
        <v>40</v>
      </c>
      <c r="U354" s="33" t="s">
        <v>884</v>
      </c>
      <c r="V354" s="33" t="s">
        <v>40</v>
      </c>
      <c r="W354" s="33" t="s">
        <v>40</v>
      </c>
      <c r="X354" s="44" t="s">
        <v>1230</v>
      </c>
      <c r="Y354" s="33" t="s">
        <v>801</v>
      </c>
      <c r="Z354" s="33" t="s">
        <v>72</v>
      </c>
      <c r="AA354" s="33">
        <v>10</v>
      </c>
      <c r="AB354" s="33">
        <v>0</v>
      </c>
      <c r="AC354" s="32">
        <v>67000</v>
      </c>
      <c r="AD354" s="12">
        <f t="shared" si="10"/>
        <v>27916.666666666668</v>
      </c>
      <c r="AE354" s="12">
        <f t="shared" si="15"/>
        <v>0</v>
      </c>
      <c r="AF354" s="53" t="s">
        <v>1311</v>
      </c>
    </row>
    <row r="355" spans="1:32" ht="14.4" x14ac:dyDescent="0.25">
      <c r="A355" s="8">
        <v>354</v>
      </c>
      <c r="B355" s="60">
        <v>46104</v>
      </c>
      <c r="C355" s="35">
        <v>5.9027777777777776E-2</v>
      </c>
      <c r="D355" s="33" t="s">
        <v>585</v>
      </c>
      <c r="E355" s="11" t="s">
        <v>73</v>
      </c>
      <c r="F355" s="33" t="s">
        <v>1129</v>
      </c>
      <c r="G355" s="43" t="s">
        <v>63</v>
      </c>
      <c r="H355" s="26" t="s">
        <v>49</v>
      </c>
      <c r="I355" s="26" t="s">
        <v>50</v>
      </c>
      <c r="J355" s="33" t="s">
        <v>214</v>
      </c>
      <c r="K355" s="33" t="s">
        <v>193</v>
      </c>
      <c r="L355" s="33"/>
      <c r="M355" s="33" t="s">
        <v>983</v>
      </c>
      <c r="N355" s="33"/>
      <c r="O355" s="33"/>
      <c r="P355" s="33"/>
      <c r="Q355" s="44" t="s">
        <v>1307</v>
      </c>
      <c r="R355" s="44" t="s">
        <v>1308</v>
      </c>
      <c r="S355" s="43" t="s">
        <v>63</v>
      </c>
      <c r="T355" s="33" t="s">
        <v>40</v>
      </c>
      <c r="U355" s="33" t="s">
        <v>884</v>
      </c>
      <c r="V355" s="17" t="s">
        <v>40</v>
      </c>
      <c r="W355" s="17" t="s">
        <v>40</v>
      </c>
      <c r="X355" s="44" t="s">
        <v>1230</v>
      </c>
      <c r="Y355" s="33" t="s">
        <v>801</v>
      </c>
      <c r="Z355" s="33" t="s">
        <v>72</v>
      </c>
      <c r="AA355" s="33">
        <v>0</v>
      </c>
      <c r="AB355" s="33">
        <v>0</v>
      </c>
      <c r="AC355" s="32">
        <v>67000</v>
      </c>
      <c r="AD355" s="12">
        <f t="shared" si="10"/>
        <v>0</v>
      </c>
      <c r="AE355" s="12">
        <f t="shared" ref="AE355:AE361" si="16">AB355/24*AC355</f>
        <v>0</v>
      </c>
      <c r="AF355" s="53" t="s">
        <v>214</v>
      </c>
    </row>
    <row r="356" spans="1:32" ht="14.4" x14ac:dyDescent="0.25">
      <c r="A356" s="8">
        <v>355</v>
      </c>
      <c r="B356" s="60">
        <v>46104</v>
      </c>
      <c r="C356" s="35">
        <v>0.4375</v>
      </c>
      <c r="D356" s="33" t="s">
        <v>585</v>
      </c>
      <c r="E356" s="11" t="s">
        <v>73</v>
      </c>
      <c r="F356" s="33" t="s">
        <v>1129</v>
      </c>
      <c r="G356" s="43" t="s">
        <v>63</v>
      </c>
      <c r="H356" s="26" t="s">
        <v>49</v>
      </c>
      <c r="I356" s="26" t="s">
        <v>50</v>
      </c>
      <c r="J356" s="33" t="s">
        <v>110</v>
      </c>
      <c r="K356" s="33" t="s">
        <v>65</v>
      </c>
      <c r="L356" s="33"/>
      <c r="M356" s="33" t="s">
        <v>1113</v>
      </c>
      <c r="N356" s="33" t="s">
        <v>400</v>
      </c>
      <c r="O356" s="33">
        <v>357</v>
      </c>
      <c r="P356" s="33">
        <v>375</v>
      </c>
      <c r="Q356" s="44" t="s">
        <v>1354</v>
      </c>
      <c r="R356" s="53" t="s">
        <v>1355</v>
      </c>
      <c r="S356" s="43" t="s">
        <v>63</v>
      </c>
      <c r="T356" s="33" t="s">
        <v>40</v>
      </c>
      <c r="U356" s="33" t="s">
        <v>884</v>
      </c>
      <c r="V356" s="33" t="s">
        <v>40</v>
      </c>
      <c r="W356" s="33" t="s">
        <v>40</v>
      </c>
      <c r="X356" s="44" t="s">
        <v>1230</v>
      </c>
      <c r="Y356" s="43" t="s">
        <v>648</v>
      </c>
      <c r="Z356" s="43" t="s">
        <v>59</v>
      </c>
      <c r="AA356" s="33">
        <v>0</v>
      </c>
      <c r="AB356" s="33">
        <v>0</v>
      </c>
      <c r="AC356" s="32">
        <v>67000</v>
      </c>
      <c r="AD356" s="12">
        <f t="shared" si="10"/>
        <v>0</v>
      </c>
      <c r="AE356" s="12">
        <f t="shared" si="16"/>
        <v>0</v>
      </c>
      <c r="AF356" s="53" t="s">
        <v>1428</v>
      </c>
    </row>
    <row r="357" spans="1:32" ht="14.4" x14ac:dyDescent="0.25">
      <c r="A357" s="8">
        <v>356</v>
      </c>
      <c r="B357" s="60">
        <v>46104</v>
      </c>
      <c r="C357" s="35">
        <v>0.9375</v>
      </c>
      <c r="D357" s="43" t="s">
        <v>580</v>
      </c>
      <c r="E357" s="11" t="s">
        <v>73</v>
      </c>
      <c r="F357" s="43" t="s">
        <v>1283</v>
      </c>
      <c r="G357" s="33" t="s">
        <v>63</v>
      </c>
      <c r="H357" s="26" t="s">
        <v>49</v>
      </c>
      <c r="I357" s="26" t="s">
        <v>50</v>
      </c>
      <c r="J357" s="33" t="s">
        <v>92</v>
      </c>
      <c r="K357" s="43" t="s">
        <v>75</v>
      </c>
      <c r="L357" s="33"/>
      <c r="M357" s="43" t="s">
        <v>74</v>
      </c>
      <c r="N357" s="33" t="s">
        <v>75</v>
      </c>
      <c r="O357" s="33">
        <v>150</v>
      </c>
      <c r="P357" s="33">
        <v>100</v>
      </c>
      <c r="Q357" s="44" t="s">
        <v>1359</v>
      </c>
      <c r="R357" s="53" t="s">
        <v>1360</v>
      </c>
      <c r="S357" s="43" t="s">
        <v>63</v>
      </c>
      <c r="T357" s="33" t="s">
        <v>40</v>
      </c>
      <c r="U357" s="33" t="s">
        <v>1361</v>
      </c>
      <c r="V357" s="33" t="s">
        <v>40</v>
      </c>
      <c r="W357" s="33" t="s">
        <v>40</v>
      </c>
      <c r="X357" s="44" t="s">
        <v>1362</v>
      </c>
      <c r="Y357" s="33" t="s">
        <v>801</v>
      </c>
      <c r="Z357" s="33" t="s">
        <v>72</v>
      </c>
      <c r="AA357" s="33">
        <v>0</v>
      </c>
      <c r="AB357" s="33">
        <v>0</v>
      </c>
      <c r="AC357" s="32">
        <v>67000</v>
      </c>
      <c r="AD357" s="12">
        <f t="shared" si="10"/>
        <v>0</v>
      </c>
      <c r="AE357" s="12">
        <f t="shared" si="16"/>
        <v>0</v>
      </c>
      <c r="AF357" s="44" t="s">
        <v>1432</v>
      </c>
    </row>
    <row r="358" spans="1:32" ht="14.4" x14ac:dyDescent="0.25">
      <c r="A358" s="8">
        <v>357</v>
      </c>
      <c r="B358" s="60">
        <v>46105</v>
      </c>
      <c r="C358" s="35">
        <v>5.9027777777777776E-2</v>
      </c>
      <c r="D358" s="43" t="s">
        <v>580</v>
      </c>
      <c r="E358" s="11" t="s">
        <v>73</v>
      </c>
      <c r="F358" s="43" t="s">
        <v>1283</v>
      </c>
      <c r="G358" s="33" t="s">
        <v>63</v>
      </c>
      <c r="H358" s="26" t="s">
        <v>49</v>
      </c>
      <c r="I358" s="26" t="s">
        <v>50</v>
      </c>
      <c r="J358" s="33" t="s">
        <v>92</v>
      </c>
      <c r="K358" s="43" t="s">
        <v>75</v>
      </c>
      <c r="L358" s="33"/>
      <c r="M358" s="43" t="s">
        <v>1363</v>
      </c>
      <c r="N358" s="33" t="s">
        <v>75</v>
      </c>
      <c r="O358" s="33">
        <v>170</v>
      </c>
      <c r="P358" s="33">
        <v>110</v>
      </c>
      <c r="Q358" s="44" t="s">
        <v>1364</v>
      </c>
      <c r="R358" s="53" t="s">
        <v>1365</v>
      </c>
      <c r="S358" s="43" t="s">
        <v>63</v>
      </c>
      <c r="T358" s="33" t="s">
        <v>40</v>
      </c>
      <c r="U358" s="33" t="s">
        <v>1361</v>
      </c>
      <c r="V358" s="33" t="s">
        <v>40</v>
      </c>
      <c r="W358" s="33" t="s">
        <v>40</v>
      </c>
      <c r="X358" s="44" t="s">
        <v>1230</v>
      </c>
      <c r="Y358" s="33" t="s">
        <v>801</v>
      </c>
      <c r="Z358" s="33" t="s">
        <v>72</v>
      </c>
      <c r="AA358" s="33">
        <v>0</v>
      </c>
      <c r="AB358" s="33">
        <v>0</v>
      </c>
      <c r="AC358" s="32">
        <v>67000</v>
      </c>
      <c r="AD358" s="12">
        <f t="shared" si="10"/>
        <v>0</v>
      </c>
      <c r="AE358" s="12">
        <f t="shared" si="16"/>
        <v>0</v>
      </c>
      <c r="AF358" s="44" t="s">
        <v>1432</v>
      </c>
    </row>
    <row r="359" spans="1:32" ht="14.4" x14ac:dyDescent="0.25">
      <c r="A359" s="8">
        <v>358</v>
      </c>
      <c r="B359" s="60">
        <v>46105</v>
      </c>
      <c r="C359" s="35">
        <v>9.375E-2</v>
      </c>
      <c r="D359" s="43" t="s">
        <v>585</v>
      </c>
      <c r="E359" s="11" t="s">
        <v>73</v>
      </c>
      <c r="F359" s="33" t="s">
        <v>1129</v>
      </c>
      <c r="G359" s="43" t="s">
        <v>63</v>
      </c>
      <c r="H359" s="26" t="s">
        <v>49</v>
      </c>
      <c r="I359" s="26" t="s">
        <v>50</v>
      </c>
      <c r="J359" s="33" t="s">
        <v>214</v>
      </c>
      <c r="K359" s="33" t="s">
        <v>214</v>
      </c>
      <c r="L359" s="33"/>
      <c r="M359" s="33" t="s">
        <v>983</v>
      </c>
      <c r="N359" s="33"/>
      <c r="O359" s="33"/>
      <c r="P359" s="33"/>
      <c r="Q359" s="44" t="s">
        <v>1366</v>
      </c>
      <c r="R359" s="53" t="s">
        <v>1357</v>
      </c>
      <c r="S359" s="43" t="s">
        <v>63</v>
      </c>
      <c r="T359" s="33" t="s">
        <v>40</v>
      </c>
      <c r="U359" s="33" t="s">
        <v>1358</v>
      </c>
      <c r="V359" s="17" t="s">
        <v>40</v>
      </c>
      <c r="W359" s="17" t="s">
        <v>40</v>
      </c>
      <c r="X359" s="44" t="s">
        <v>1230</v>
      </c>
      <c r="Y359" s="33" t="s">
        <v>801</v>
      </c>
      <c r="Z359" s="33" t="s">
        <v>72</v>
      </c>
      <c r="AA359" s="33">
        <v>0</v>
      </c>
      <c r="AB359" s="33">
        <v>0</v>
      </c>
      <c r="AC359" s="32">
        <v>67000</v>
      </c>
      <c r="AD359" s="12">
        <f t="shared" si="10"/>
        <v>0</v>
      </c>
      <c r="AE359" s="12">
        <f t="shared" si="16"/>
        <v>0</v>
      </c>
      <c r="AF359" s="44" t="s">
        <v>1432</v>
      </c>
    </row>
    <row r="360" spans="1:32" ht="39.6" x14ac:dyDescent="0.25">
      <c r="A360" s="8">
        <v>359</v>
      </c>
      <c r="B360" s="60">
        <v>46105</v>
      </c>
      <c r="C360" s="35">
        <v>0.31944444444444442</v>
      </c>
      <c r="D360" s="43" t="s">
        <v>580</v>
      </c>
      <c r="E360" s="11" t="s">
        <v>73</v>
      </c>
      <c r="F360" s="43" t="s">
        <v>1129</v>
      </c>
      <c r="G360" s="43" t="s">
        <v>63</v>
      </c>
      <c r="H360" s="26" t="s">
        <v>49</v>
      </c>
      <c r="I360" s="26" t="s">
        <v>50</v>
      </c>
      <c r="J360" s="33" t="s">
        <v>92</v>
      </c>
      <c r="K360" s="33" t="s">
        <v>75</v>
      </c>
      <c r="L360" s="33"/>
      <c r="M360" s="33" t="s">
        <v>74</v>
      </c>
      <c r="N360" s="33" t="s">
        <v>75</v>
      </c>
      <c r="O360" s="33">
        <v>150</v>
      </c>
      <c r="P360" s="33">
        <v>50</v>
      </c>
      <c r="Q360" s="44" t="s">
        <v>1367</v>
      </c>
      <c r="R360" s="53" t="s">
        <v>1368</v>
      </c>
      <c r="S360" s="43" t="s">
        <v>63</v>
      </c>
      <c r="T360" s="33" t="s">
        <v>40</v>
      </c>
      <c r="U360" s="43" t="s">
        <v>1358</v>
      </c>
      <c r="V360" s="33" t="s">
        <v>40</v>
      </c>
      <c r="W360" s="33" t="s">
        <v>40</v>
      </c>
      <c r="X360" s="44" t="s">
        <v>1230</v>
      </c>
      <c r="Y360" s="33" t="s">
        <v>632</v>
      </c>
      <c r="Z360" s="33" t="s">
        <v>59</v>
      </c>
      <c r="AA360" s="33">
        <v>0</v>
      </c>
      <c r="AB360" s="33">
        <v>0</v>
      </c>
      <c r="AC360" s="32">
        <v>67000</v>
      </c>
      <c r="AD360" s="12">
        <f t="shared" si="10"/>
        <v>0</v>
      </c>
      <c r="AE360" s="12">
        <f t="shared" si="16"/>
        <v>0</v>
      </c>
      <c r="AF360" s="44" t="s">
        <v>1432</v>
      </c>
    </row>
    <row r="361" spans="1:32" ht="26.4" x14ac:dyDescent="0.25">
      <c r="A361" s="8">
        <v>360</v>
      </c>
      <c r="B361" s="60">
        <v>46105</v>
      </c>
      <c r="C361" s="35">
        <v>0.95347222222222228</v>
      </c>
      <c r="D361" s="43" t="s">
        <v>580</v>
      </c>
      <c r="E361" s="11" t="s">
        <v>73</v>
      </c>
      <c r="F361" s="43" t="s">
        <v>1283</v>
      </c>
      <c r="G361" s="33" t="s">
        <v>63</v>
      </c>
      <c r="H361" s="26" t="s">
        <v>49</v>
      </c>
      <c r="I361" s="26" t="s">
        <v>50</v>
      </c>
      <c r="J361" s="33" t="s">
        <v>92</v>
      </c>
      <c r="K361" s="43" t="s">
        <v>75</v>
      </c>
      <c r="L361" s="33"/>
      <c r="M361" s="43" t="s">
        <v>74</v>
      </c>
      <c r="N361" s="33" t="s">
        <v>75</v>
      </c>
      <c r="O361" s="33">
        <v>170</v>
      </c>
      <c r="P361" s="33">
        <v>110</v>
      </c>
      <c r="Q361" s="61" t="s">
        <v>1371</v>
      </c>
      <c r="R361" s="53" t="s">
        <v>1369</v>
      </c>
      <c r="S361" s="43" t="s">
        <v>63</v>
      </c>
      <c r="T361" s="33" t="s">
        <v>40</v>
      </c>
      <c r="U361" s="33" t="s">
        <v>1370</v>
      </c>
      <c r="V361" s="33" t="s">
        <v>40</v>
      </c>
      <c r="W361" s="33" t="s">
        <v>40</v>
      </c>
      <c r="X361" s="44" t="s">
        <v>1230</v>
      </c>
      <c r="Y361" s="33" t="s">
        <v>801</v>
      </c>
      <c r="Z361" s="33" t="s">
        <v>123</v>
      </c>
      <c r="AA361" s="33">
        <v>0</v>
      </c>
      <c r="AB361" s="33">
        <v>0</v>
      </c>
      <c r="AC361" s="32">
        <v>67000</v>
      </c>
      <c r="AD361" s="12">
        <f t="shared" si="10"/>
        <v>0</v>
      </c>
      <c r="AE361" s="12">
        <f t="shared" si="16"/>
        <v>0</v>
      </c>
      <c r="AF361" s="44" t="s">
        <v>1397</v>
      </c>
    </row>
    <row r="362" spans="1:32" ht="14.4" x14ac:dyDescent="0.25">
      <c r="A362" s="8">
        <v>361</v>
      </c>
      <c r="B362" s="60">
        <v>46106</v>
      </c>
      <c r="C362" s="35">
        <v>0.54166666666666663</v>
      </c>
      <c r="D362" s="43" t="s">
        <v>585</v>
      </c>
      <c r="E362" s="11" t="s">
        <v>73</v>
      </c>
      <c r="F362" s="33" t="s">
        <v>1129</v>
      </c>
      <c r="G362" s="33" t="s">
        <v>28</v>
      </c>
      <c r="H362" s="26" t="s">
        <v>49</v>
      </c>
      <c r="I362" s="26" t="s">
        <v>50</v>
      </c>
      <c r="J362" s="33" t="s">
        <v>214</v>
      </c>
      <c r="K362" s="33" t="s">
        <v>214</v>
      </c>
      <c r="L362" s="33"/>
      <c r="M362" s="43" t="s">
        <v>1054</v>
      </c>
      <c r="N362" s="33"/>
      <c r="O362" s="33"/>
      <c r="P362" s="33"/>
      <c r="Q362" s="53" t="s">
        <v>1373</v>
      </c>
      <c r="R362" s="53" t="s">
        <v>1320</v>
      </c>
      <c r="S362" s="43" t="s">
        <v>63</v>
      </c>
      <c r="T362" s="33" t="s">
        <v>40</v>
      </c>
      <c r="U362" s="43" t="s">
        <v>1374</v>
      </c>
      <c r="V362" s="17" t="s">
        <v>40</v>
      </c>
      <c r="W362" s="17" t="s">
        <v>40</v>
      </c>
      <c r="X362" s="44"/>
      <c r="Y362" s="43" t="s">
        <v>1322</v>
      </c>
      <c r="Z362" s="33" t="s">
        <v>72</v>
      </c>
      <c r="AA362" s="33">
        <v>0</v>
      </c>
      <c r="AB362" s="33">
        <v>0</v>
      </c>
      <c r="AC362" s="32">
        <v>67000</v>
      </c>
      <c r="AD362" s="12">
        <f t="shared" si="10"/>
        <v>0</v>
      </c>
      <c r="AE362" s="12">
        <f t="shared" ref="AE362:AE367" si="17">AB362/24*AC362</f>
        <v>0</v>
      </c>
      <c r="AF362" s="53" t="s">
        <v>214</v>
      </c>
    </row>
    <row r="363" spans="1:32" ht="14.4" x14ac:dyDescent="0.25">
      <c r="A363" s="8">
        <v>362</v>
      </c>
      <c r="B363" s="60">
        <v>46106</v>
      </c>
      <c r="C363" s="35">
        <v>0.625</v>
      </c>
      <c r="D363" s="43" t="s">
        <v>580</v>
      </c>
      <c r="E363" s="11" t="s">
        <v>73</v>
      </c>
      <c r="F363" s="43" t="s">
        <v>1283</v>
      </c>
      <c r="G363" s="33" t="s">
        <v>63</v>
      </c>
      <c r="H363" s="26" t="s">
        <v>49</v>
      </c>
      <c r="I363" s="26" t="s">
        <v>50</v>
      </c>
      <c r="J363" s="33" t="s">
        <v>92</v>
      </c>
      <c r="K363" s="43" t="s">
        <v>75</v>
      </c>
      <c r="L363" s="33"/>
      <c r="M363" s="43" t="s">
        <v>1375</v>
      </c>
      <c r="N363" s="43" t="s">
        <v>75</v>
      </c>
      <c r="O363" s="33">
        <v>150</v>
      </c>
      <c r="P363" s="33">
        <v>110</v>
      </c>
      <c r="Q363" s="53" t="s">
        <v>1376</v>
      </c>
      <c r="R363" s="53" t="s">
        <v>1377</v>
      </c>
      <c r="S363" s="43" t="s">
        <v>63</v>
      </c>
      <c r="T363" s="43" t="s">
        <v>40</v>
      </c>
      <c r="U363" s="33" t="s">
        <v>884</v>
      </c>
      <c r="V363" s="33" t="s">
        <v>40</v>
      </c>
      <c r="W363" s="33" t="s">
        <v>40</v>
      </c>
      <c r="X363" s="44" t="s">
        <v>1230</v>
      </c>
      <c r="Y363" s="33" t="s">
        <v>641</v>
      </c>
      <c r="Z363" s="33" t="s">
        <v>72</v>
      </c>
      <c r="AA363" s="33">
        <v>0</v>
      </c>
      <c r="AB363" s="33">
        <v>0</v>
      </c>
      <c r="AC363" s="32">
        <v>67000</v>
      </c>
      <c r="AD363" s="12">
        <f t="shared" si="10"/>
        <v>0</v>
      </c>
      <c r="AE363" s="12">
        <f t="shared" si="17"/>
        <v>0</v>
      </c>
      <c r="AF363" s="44" t="s">
        <v>1432</v>
      </c>
    </row>
    <row r="364" spans="1:32" ht="14.4" x14ac:dyDescent="0.25">
      <c r="A364" s="8">
        <v>363</v>
      </c>
      <c r="B364" s="60">
        <v>46107</v>
      </c>
      <c r="C364" s="35">
        <v>0.3125</v>
      </c>
      <c r="D364" s="43" t="s">
        <v>580</v>
      </c>
      <c r="E364" s="11" t="s">
        <v>73</v>
      </c>
      <c r="F364" s="43" t="s">
        <v>1283</v>
      </c>
      <c r="G364" s="33" t="s">
        <v>63</v>
      </c>
      <c r="H364" s="26" t="s">
        <v>49</v>
      </c>
      <c r="I364" s="26" t="s">
        <v>50</v>
      </c>
      <c r="J364" s="33" t="s">
        <v>92</v>
      </c>
      <c r="K364" s="43" t="s">
        <v>75</v>
      </c>
      <c r="L364" s="33"/>
      <c r="M364" s="43" t="s">
        <v>74</v>
      </c>
      <c r="N364" s="43" t="s">
        <v>75</v>
      </c>
      <c r="O364" s="33">
        <v>45</v>
      </c>
      <c r="P364" s="33">
        <v>15</v>
      </c>
      <c r="Q364" s="53" t="s">
        <v>1378</v>
      </c>
      <c r="R364" s="53" t="s">
        <v>1379</v>
      </c>
      <c r="S364" s="43" t="s">
        <v>63</v>
      </c>
      <c r="T364" s="43" t="s">
        <v>40</v>
      </c>
      <c r="U364" s="33" t="s">
        <v>1380</v>
      </c>
      <c r="V364" s="33" t="s">
        <v>40</v>
      </c>
      <c r="W364" s="33" t="s">
        <v>40</v>
      </c>
      <c r="X364" s="44" t="s">
        <v>1230</v>
      </c>
      <c r="Y364" s="33" t="s">
        <v>632</v>
      </c>
      <c r="Z364" s="33" t="s">
        <v>72</v>
      </c>
      <c r="AA364" s="33">
        <v>44.75</v>
      </c>
      <c r="AB364" s="33">
        <v>0</v>
      </c>
      <c r="AC364" s="32">
        <v>67000</v>
      </c>
      <c r="AD364" s="12">
        <f t="shared" si="10"/>
        <v>124927.08333333333</v>
      </c>
      <c r="AE364" s="12">
        <f t="shared" si="17"/>
        <v>0</v>
      </c>
      <c r="AF364" s="53" t="s">
        <v>1407</v>
      </c>
    </row>
    <row r="365" spans="1:32" ht="26.4" x14ac:dyDescent="0.25">
      <c r="A365" s="8">
        <v>364</v>
      </c>
      <c r="B365" s="60">
        <v>46107</v>
      </c>
      <c r="C365" s="35">
        <v>0.42708333333333331</v>
      </c>
      <c r="D365" s="33" t="s">
        <v>747</v>
      </c>
      <c r="E365" s="11" t="s">
        <v>73</v>
      </c>
      <c r="F365" s="33" t="s">
        <v>1127</v>
      </c>
      <c r="G365" s="43" t="s">
        <v>48</v>
      </c>
      <c r="H365" s="26" t="s">
        <v>49</v>
      </c>
      <c r="I365" s="26" t="s">
        <v>50</v>
      </c>
      <c r="J365" s="33" t="s">
        <v>92</v>
      </c>
      <c r="K365" s="33" t="s">
        <v>559</v>
      </c>
      <c r="L365" s="33"/>
      <c r="M365" s="33" t="s">
        <v>1313</v>
      </c>
      <c r="N365" s="33" t="s">
        <v>1381</v>
      </c>
      <c r="O365" s="33">
        <v>16.5</v>
      </c>
      <c r="P365" s="33">
        <v>19.5</v>
      </c>
      <c r="Q365" s="44" t="s">
        <v>1382</v>
      </c>
      <c r="R365" s="53" t="s">
        <v>1383</v>
      </c>
      <c r="S365" s="43" t="s">
        <v>63</v>
      </c>
      <c r="T365" s="33" t="s">
        <v>40</v>
      </c>
      <c r="U365" s="33" t="s">
        <v>884</v>
      </c>
      <c r="V365" s="33" t="s">
        <v>40</v>
      </c>
      <c r="W365" s="33" t="s">
        <v>80</v>
      </c>
      <c r="X365" s="44" t="s">
        <v>1386</v>
      </c>
      <c r="Y365" s="33" t="s">
        <v>632</v>
      </c>
      <c r="Z365" s="33" t="s">
        <v>72</v>
      </c>
      <c r="AA365" s="33">
        <v>0</v>
      </c>
      <c r="AB365" s="33">
        <v>0.4</v>
      </c>
      <c r="AC365" s="32">
        <v>67000</v>
      </c>
      <c r="AD365" s="12">
        <f t="shared" si="10"/>
        <v>0</v>
      </c>
      <c r="AE365" s="12">
        <f t="shared" si="17"/>
        <v>1116.6666666666667</v>
      </c>
      <c r="AF365" s="44" t="s">
        <v>1431</v>
      </c>
    </row>
    <row r="366" spans="1:32" ht="14.4" x14ac:dyDescent="0.25">
      <c r="A366" s="8">
        <v>365</v>
      </c>
      <c r="B366" s="60">
        <v>46107</v>
      </c>
      <c r="C366" s="35">
        <v>0.60416666666666663</v>
      </c>
      <c r="D366" s="33" t="s">
        <v>747</v>
      </c>
      <c r="E366" s="11" t="s">
        <v>73</v>
      </c>
      <c r="F366" s="33" t="s">
        <v>1127</v>
      </c>
      <c r="G366" s="43" t="s">
        <v>28</v>
      </c>
      <c r="H366" s="26" t="s">
        <v>49</v>
      </c>
      <c r="I366" s="26" t="s">
        <v>50</v>
      </c>
      <c r="J366" s="33" t="s">
        <v>92</v>
      </c>
      <c r="K366" s="33" t="s">
        <v>75</v>
      </c>
      <c r="L366" s="33"/>
      <c r="M366" s="33" t="s">
        <v>1339</v>
      </c>
      <c r="N366" s="33" t="s">
        <v>391</v>
      </c>
      <c r="O366" s="33">
        <v>21</v>
      </c>
      <c r="P366" s="33">
        <v>20</v>
      </c>
      <c r="Q366" s="44" t="s">
        <v>1384</v>
      </c>
      <c r="R366" s="53" t="s">
        <v>1385</v>
      </c>
      <c r="S366" s="43" t="s">
        <v>63</v>
      </c>
      <c r="T366" s="33" t="s">
        <v>40</v>
      </c>
      <c r="U366" s="33" t="s">
        <v>884</v>
      </c>
      <c r="V366" s="33" t="s">
        <v>40</v>
      </c>
      <c r="W366" s="33" t="s">
        <v>80</v>
      </c>
      <c r="X366" s="44" t="s">
        <v>1386</v>
      </c>
      <c r="Y366" s="33" t="s">
        <v>641</v>
      </c>
      <c r="Z366" s="33" t="s">
        <v>72</v>
      </c>
      <c r="AA366" s="33">
        <v>0</v>
      </c>
      <c r="AB366" s="33">
        <v>0</v>
      </c>
      <c r="AC366" s="32">
        <v>67000</v>
      </c>
      <c r="AD366" s="12">
        <f t="shared" si="10"/>
        <v>0</v>
      </c>
      <c r="AE366" s="12">
        <f t="shared" si="17"/>
        <v>0</v>
      </c>
      <c r="AF366" s="44" t="s">
        <v>1432</v>
      </c>
    </row>
    <row r="367" spans="1:32" ht="26.4" x14ac:dyDescent="0.25">
      <c r="A367" s="8">
        <v>366</v>
      </c>
      <c r="B367" s="60">
        <v>46107</v>
      </c>
      <c r="C367" s="35">
        <v>0.94444444444444442</v>
      </c>
      <c r="D367" s="33" t="s">
        <v>747</v>
      </c>
      <c r="E367" s="11" t="s">
        <v>73</v>
      </c>
      <c r="F367" s="33" t="s">
        <v>1127</v>
      </c>
      <c r="G367" s="43" t="s">
        <v>28</v>
      </c>
      <c r="H367" s="26" t="s">
        <v>49</v>
      </c>
      <c r="I367" s="26" t="s">
        <v>50</v>
      </c>
      <c r="J367" s="33" t="s">
        <v>31</v>
      </c>
      <c r="K367" s="33" t="s">
        <v>65</v>
      </c>
      <c r="L367" s="33"/>
      <c r="M367" s="33" t="s">
        <v>51</v>
      </c>
      <c r="N367" s="33"/>
      <c r="O367" s="33"/>
      <c r="P367" s="33"/>
      <c r="Q367" s="44" t="s">
        <v>1387</v>
      </c>
      <c r="R367" s="53" t="s">
        <v>1388</v>
      </c>
      <c r="S367" s="43" t="s">
        <v>28</v>
      </c>
      <c r="T367" s="33" t="s">
        <v>40</v>
      </c>
      <c r="U367" s="33" t="s">
        <v>1390</v>
      </c>
      <c r="V367" s="33" t="s">
        <v>40</v>
      </c>
      <c r="W367" s="33" t="s">
        <v>40</v>
      </c>
      <c r="X367" s="44" t="s">
        <v>1389</v>
      </c>
      <c r="Y367" s="43" t="s">
        <v>648</v>
      </c>
      <c r="Z367" s="33" t="s">
        <v>123</v>
      </c>
      <c r="AA367" s="33">
        <v>0</v>
      </c>
      <c r="AB367" s="33">
        <v>0</v>
      </c>
      <c r="AC367" s="32">
        <v>67000</v>
      </c>
      <c r="AD367" s="12">
        <f t="shared" si="10"/>
        <v>0</v>
      </c>
      <c r="AE367" s="12">
        <f t="shared" si="17"/>
        <v>0</v>
      </c>
      <c r="AF367" s="44"/>
    </row>
    <row r="368" spans="1:32" ht="14.4" x14ac:dyDescent="0.25">
      <c r="A368" s="8">
        <v>367</v>
      </c>
      <c r="B368" s="60">
        <v>46108</v>
      </c>
      <c r="C368" s="35">
        <v>0.38541666666666669</v>
      </c>
      <c r="D368" s="43" t="s">
        <v>580</v>
      </c>
      <c r="E368" s="11" t="s">
        <v>73</v>
      </c>
      <c r="F368" s="43" t="s">
        <v>1283</v>
      </c>
      <c r="G368" s="43" t="s">
        <v>63</v>
      </c>
      <c r="H368" s="26" t="s">
        <v>49</v>
      </c>
      <c r="I368" s="26" t="s">
        <v>50</v>
      </c>
      <c r="J368" s="33" t="s">
        <v>92</v>
      </c>
      <c r="K368" s="33" t="s">
        <v>1126</v>
      </c>
      <c r="L368" s="33"/>
      <c r="M368" s="33" t="s">
        <v>1318</v>
      </c>
      <c r="N368" s="33"/>
      <c r="O368" s="33"/>
      <c r="P368" s="33"/>
      <c r="Q368" s="44" t="s">
        <v>1309</v>
      </c>
      <c r="R368" s="44" t="s">
        <v>1317</v>
      </c>
      <c r="S368" s="33" t="s">
        <v>63</v>
      </c>
      <c r="T368" s="33" t="s">
        <v>40</v>
      </c>
      <c r="U368" s="33" t="s">
        <v>884</v>
      </c>
      <c r="V368" s="33" t="s">
        <v>40</v>
      </c>
      <c r="W368" s="33" t="s">
        <v>40</v>
      </c>
      <c r="X368" s="44" t="s">
        <v>1230</v>
      </c>
      <c r="Y368" s="33" t="s">
        <v>632</v>
      </c>
      <c r="Z368" s="33" t="s">
        <v>72</v>
      </c>
      <c r="AA368" s="33">
        <v>0</v>
      </c>
      <c r="AB368" s="33">
        <v>10</v>
      </c>
      <c r="AC368" s="32">
        <v>67000</v>
      </c>
      <c r="AD368" s="12">
        <f>AA368/24*AC368</f>
        <v>0</v>
      </c>
      <c r="AE368" s="12">
        <f>AB368/24*AC368</f>
        <v>27916.666666666668</v>
      </c>
      <c r="AF368" s="44" t="s">
        <v>1447</v>
      </c>
    </row>
    <row r="369" spans="1:32" ht="14.4" x14ac:dyDescent="0.25">
      <c r="A369" s="8">
        <v>368</v>
      </c>
      <c r="B369" s="60">
        <v>46108</v>
      </c>
      <c r="C369" s="35">
        <v>0.38541666666666669</v>
      </c>
      <c r="D369" s="43" t="s">
        <v>580</v>
      </c>
      <c r="E369" s="11" t="s">
        <v>73</v>
      </c>
      <c r="F369" s="43" t="s">
        <v>1283</v>
      </c>
      <c r="G369" s="43" t="s">
        <v>63</v>
      </c>
      <c r="H369" s="26" t="s">
        <v>49</v>
      </c>
      <c r="I369" s="26" t="s">
        <v>50</v>
      </c>
      <c r="J369" s="33" t="s">
        <v>214</v>
      </c>
      <c r="K369" s="33" t="s">
        <v>193</v>
      </c>
      <c r="L369" s="33"/>
      <c r="M369" s="33" t="s">
        <v>983</v>
      </c>
      <c r="N369" s="33"/>
      <c r="O369" s="33"/>
      <c r="P369" s="33"/>
      <c r="Q369" s="44" t="s">
        <v>1307</v>
      </c>
      <c r="R369" s="44" t="s">
        <v>1308</v>
      </c>
      <c r="S369" s="33" t="s">
        <v>63</v>
      </c>
      <c r="T369" s="33" t="s">
        <v>40</v>
      </c>
      <c r="U369" s="33" t="s">
        <v>884</v>
      </c>
      <c r="V369" s="17" t="s">
        <v>40</v>
      </c>
      <c r="W369" s="17" t="s">
        <v>40</v>
      </c>
      <c r="X369" s="44" t="s">
        <v>1230</v>
      </c>
      <c r="Y369" s="33" t="s">
        <v>632</v>
      </c>
      <c r="Z369" s="33" t="s">
        <v>72</v>
      </c>
      <c r="AA369" s="33">
        <v>0</v>
      </c>
      <c r="AB369" s="33">
        <v>0</v>
      </c>
      <c r="AC369" s="32">
        <v>67000</v>
      </c>
      <c r="AD369" s="12">
        <f t="shared" si="10"/>
        <v>0</v>
      </c>
      <c r="AE369" s="12">
        <f t="shared" ref="AE369:AE380" si="18">AB369/24*AC369</f>
        <v>0</v>
      </c>
      <c r="AF369" s="44" t="s">
        <v>1432</v>
      </c>
    </row>
    <row r="370" spans="1:32" ht="52.8" x14ac:dyDescent="0.25">
      <c r="A370" s="8">
        <v>369</v>
      </c>
      <c r="B370" s="60">
        <v>46108</v>
      </c>
      <c r="C370" s="35">
        <v>0.55555555555555558</v>
      </c>
      <c r="D370" s="43" t="s">
        <v>580</v>
      </c>
      <c r="E370" s="11" t="s">
        <v>73</v>
      </c>
      <c r="F370" s="43" t="s">
        <v>1283</v>
      </c>
      <c r="G370" s="43" t="s">
        <v>63</v>
      </c>
      <c r="H370" s="26" t="s">
        <v>49</v>
      </c>
      <c r="I370" s="26" t="s">
        <v>50</v>
      </c>
      <c r="J370" s="33" t="s">
        <v>110</v>
      </c>
      <c r="K370" s="33" t="s">
        <v>65</v>
      </c>
      <c r="L370" s="33"/>
      <c r="M370" s="43" t="s">
        <v>170</v>
      </c>
      <c r="N370" s="43" t="s">
        <v>912</v>
      </c>
      <c r="O370" s="33">
        <v>370</v>
      </c>
      <c r="P370" s="33">
        <v>390</v>
      </c>
      <c r="Q370" s="53" t="s">
        <v>1392</v>
      </c>
      <c r="R370" s="53" t="s">
        <v>1391</v>
      </c>
      <c r="S370" s="43" t="s">
        <v>63</v>
      </c>
      <c r="T370" s="43" t="s">
        <v>40</v>
      </c>
      <c r="U370" s="33" t="s">
        <v>884</v>
      </c>
      <c r="V370" s="33" t="s">
        <v>40</v>
      </c>
      <c r="W370" s="33" t="s">
        <v>40</v>
      </c>
      <c r="X370" s="44" t="s">
        <v>1230</v>
      </c>
      <c r="Y370" s="33" t="s">
        <v>632</v>
      </c>
      <c r="Z370" s="33" t="s">
        <v>72</v>
      </c>
      <c r="AA370" s="33">
        <v>0</v>
      </c>
      <c r="AB370" s="33">
        <v>0</v>
      </c>
      <c r="AC370" s="32">
        <v>67000</v>
      </c>
      <c r="AD370" s="12">
        <f t="shared" si="10"/>
        <v>0</v>
      </c>
      <c r="AE370" s="12">
        <f t="shared" si="18"/>
        <v>0</v>
      </c>
      <c r="AF370" s="44" t="s">
        <v>1432</v>
      </c>
    </row>
    <row r="371" spans="1:32" ht="39.6" x14ac:dyDescent="0.25">
      <c r="A371" s="8">
        <v>370</v>
      </c>
      <c r="B371" s="60">
        <v>46108</v>
      </c>
      <c r="C371" s="35">
        <v>0.875</v>
      </c>
      <c r="D371" s="43" t="s">
        <v>580</v>
      </c>
      <c r="E371" s="11" t="s">
        <v>73</v>
      </c>
      <c r="F371" s="43" t="s">
        <v>1283</v>
      </c>
      <c r="G371" s="43" t="s">
        <v>63</v>
      </c>
      <c r="H371" s="26" t="s">
        <v>49</v>
      </c>
      <c r="I371" s="26" t="s">
        <v>50</v>
      </c>
      <c r="J371" s="33" t="s">
        <v>110</v>
      </c>
      <c r="K371" s="33" t="s">
        <v>65</v>
      </c>
      <c r="L371" s="33"/>
      <c r="M371" s="43" t="s">
        <v>51</v>
      </c>
      <c r="N371" s="43" t="s">
        <v>912</v>
      </c>
      <c r="O371" s="33">
        <v>280</v>
      </c>
      <c r="P371" s="33">
        <v>300</v>
      </c>
      <c r="Q371" s="53" t="s">
        <v>1393</v>
      </c>
      <c r="R371" s="53" t="s">
        <v>1394</v>
      </c>
      <c r="S371" s="43" t="s">
        <v>63</v>
      </c>
      <c r="T371" s="43" t="s">
        <v>40</v>
      </c>
      <c r="U371" s="33" t="s">
        <v>1396</v>
      </c>
      <c r="V371" s="33" t="s">
        <v>40</v>
      </c>
      <c r="W371" s="33" t="s">
        <v>40</v>
      </c>
      <c r="X371" s="44" t="s">
        <v>1395</v>
      </c>
      <c r="Y371" s="33" t="s">
        <v>641</v>
      </c>
      <c r="Z371" s="33" t="s">
        <v>123</v>
      </c>
      <c r="AA371" s="33">
        <v>0</v>
      </c>
      <c r="AB371" s="33">
        <v>0</v>
      </c>
      <c r="AC371" s="32">
        <v>67000</v>
      </c>
      <c r="AD371" s="12">
        <f t="shared" si="10"/>
        <v>0</v>
      </c>
      <c r="AE371" s="12">
        <f t="shared" si="18"/>
        <v>0</v>
      </c>
      <c r="AF371" s="44" t="s">
        <v>1432</v>
      </c>
    </row>
    <row r="372" spans="1:32" ht="39.6" x14ac:dyDescent="0.25">
      <c r="A372" s="8">
        <v>371</v>
      </c>
      <c r="B372" s="60">
        <v>46108</v>
      </c>
      <c r="C372" s="35">
        <v>0.89375000000000004</v>
      </c>
      <c r="D372" s="43" t="s">
        <v>580</v>
      </c>
      <c r="E372" s="11" t="s">
        <v>73</v>
      </c>
      <c r="F372" s="43" t="s">
        <v>1283</v>
      </c>
      <c r="G372" s="43" t="s">
        <v>63</v>
      </c>
      <c r="H372" s="26" t="s">
        <v>49</v>
      </c>
      <c r="I372" s="26" t="s">
        <v>50</v>
      </c>
      <c r="J372" s="33" t="s">
        <v>110</v>
      </c>
      <c r="K372" s="33" t="s">
        <v>65</v>
      </c>
      <c r="L372" s="33"/>
      <c r="M372" s="43" t="s">
        <v>170</v>
      </c>
      <c r="N372" s="43" t="s">
        <v>912</v>
      </c>
      <c r="O372" s="33" t="s">
        <v>1399</v>
      </c>
      <c r="P372" s="33">
        <v>291</v>
      </c>
      <c r="Q372" s="53" t="s">
        <v>1398</v>
      </c>
      <c r="R372" s="53" t="s">
        <v>1394</v>
      </c>
      <c r="S372" s="43" t="s">
        <v>63</v>
      </c>
      <c r="T372" s="43" t="s">
        <v>80</v>
      </c>
      <c r="U372" s="33" t="s">
        <v>1400</v>
      </c>
      <c r="V372" s="33" t="s">
        <v>80</v>
      </c>
      <c r="W372" s="33" t="s">
        <v>80</v>
      </c>
      <c r="X372" s="44" t="s">
        <v>836</v>
      </c>
      <c r="Y372" s="33" t="s">
        <v>641</v>
      </c>
      <c r="Z372" s="33" t="s">
        <v>123</v>
      </c>
      <c r="AA372" s="33">
        <v>0</v>
      </c>
      <c r="AB372" s="33">
        <v>0</v>
      </c>
      <c r="AC372" s="32">
        <v>67000</v>
      </c>
      <c r="AD372" s="12">
        <f t="shared" si="10"/>
        <v>0</v>
      </c>
      <c r="AE372" s="12">
        <f t="shared" si="18"/>
        <v>0</v>
      </c>
      <c r="AF372" s="44" t="s">
        <v>1432</v>
      </c>
    </row>
    <row r="373" spans="1:32" ht="26.4" x14ac:dyDescent="0.25">
      <c r="A373" s="8">
        <v>372</v>
      </c>
      <c r="B373" s="60">
        <v>46109</v>
      </c>
      <c r="C373" s="35">
        <v>7.9861111111111105E-2</v>
      </c>
      <c r="D373" s="43" t="s">
        <v>616</v>
      </c>
      <c r="E373" s="11" t="s">
        <v>73</v>
      </c>
      <c r="F373" s="43" t="s">
        <v>1401</v>
      </c>
      <c r="G373" s="43" t="s">
        <v>48</v>
      </c>
      <c r="H373" s="26" t="s">
        <v>49</v>
      </c>
      <c r="I373" s="26" t="s">
        <v>50</v>
      </c>
      <c r="J373" s="33" t="s">
        <v>110</v>
      </c>
      <c r="K373" s="33" t="s">
        <v>65</v>
      </c>
      <c r="L373" s="33"/>
      <c r="M373" s="43" t="s">
        <v>170</v>
      </c>
      <c r="N373" s="43" t="s">
        <v>912</v>
      </c>
      <c r="O373" s="33" t="s">
        <v>1402</v>
      </c>
      <c r="P373" s="33">
        <v>250</v>
      </c>
      <c r="Q373" s="53" t="s">
        <v>1403</v>
      </c>
      <c r="R373" s="53" t="s">
        <v>1404</v>
      </c>
      <c r="S373" s="43" t="s">
        <v>48</v>
      </c>
      <c r="T373" s="43" t="s">
        <v>40</v>
      </c>
      <c r="U373" s="33" t="s">
        <v>1405</v>
      </c>
      <c r="V373" s="33" t="s">
        <v>40</v>
      </c>
      <c r="W373" s="33" t="s">
        <v>40</v>
      </c>
      <c r="X373" s="44" t="s">
        <v>1406</v>
      </c>
      <c r="Y373" s="43" t="s">
        <v>648</v>
      </c>
      <c r="Z373" s="33" t="s">
        <v>123</v>
      </c>
      <c r="AA373" s="33">
        <v>0</v>
      </c>
      <c r="AB373" s="33">
        <v>0</v>
      </c>
      <c r="AC373" s="32">
        <v>67000</v>
      </c>
      <c r="AD373" s="12">
        <f t="shared" si="10"/>
        <v>0</v>
      </c>
      <c r="AE373" s="12">
        <f t="shared" si="18"/>
        <v>0</v>
      </c>
      <c r="AF373" s="44"/>
    </row>
    <row r="374" spans="1:32" ht="26.4" x14ac:dyDescent="0.25">
      <c r="A374" s="8">
        <v>373</v>
      </c>
      <c r="B374" s="60">
        <v>46109</v>
      </c>
      <c r="C374" s="35">
        <v>0.46875</v>
      </c>
      <c r="D374" s="43" t="s">
        <v>580</v>
      </c>
      <c r="E374" s="11" t="s">
        <v>73</v>
      </c>
      <c r="F374" s="43" t="s">
        <v>1283</v>
      </c>
      <c r="G374" s="43" t="s">
        <v>63</v>
      </c>
      <c r="H374" s="26" t="s">
        <v>49</v>
      </c>
      <c r="I374" s="26" t="s">
        <v>50</v>
      </c>
      <c r="J374" s="33" t="s">
        <v>110</v>
      </c>
      <c r="K374" s="33" t="s">
        <v>65</v>
      </c>
      <c r="L374" s="33"/>
      <c r="M374" s="43" t="s">
        <v>170</v>
      </c>
      <c r="N374" s="43" t="s">
        <v>912</v>
      </c>
      <c r="O374" s="33">
        <v>286</v>
      </c>
      <c r="P374" s="33">
        <v>266</v>
      </c>
      <c r="Q374" s="53" t="s">
        <v>1409</v>
      </c>
      <c r="R374" s="53" t="s">
        <v>1408</v>
      </c>
      <c r="S374" s="43" t="s">
        <v>63</v>
      </c>
      <c r="T374" s="43" t="s">
        <v>40</v>
      </c>
      <c r="U374" s="33" t="s">
        <v>884</v>
      </c>
      <c r="V374" s="33" t="s">
        <v>40</v>
      </c>
      <c r="W374" s="33" t="s">
        <v>40</v>
      </c>
      <c r="X374" s="44" t="s">
        <v>1230</v>
      </c>
      <c r="Y374" s="33" t="s">
        <v>632</v>
      </c>
      <c r="Z374" s="33" t="s">
        <v>72</v>
      </c>
      <c r="AA374" s="33">
        <v>0</v>
      </c>
      <c r="AB374" s="33">
        <v>0</v>
      </c>
      <c r="AC374" s="32">
        <v>67000</v>
      </c>
      <c r="AD374" s="12">
        <f t="shared" si="10"/>
        <v>0</v>
      </c>
      <c r="AE374" s="12">
        <f t="shared" si="18"/>
        <v>0</v>
      </c>
      <c r="AF374" s="44" t="s">
        <v>1432</v>
      </c>
    </row>
    <row r="375" spans="1:32" ht="14.4" x14ac:dyDescent="0.25">
      <c r="A375" s="8">
        <v>374</v>
      </c>
      <c r="B375" s="60">
        <v>46109</v>
      </c>
      <c r="C375" s="35">
        <v>0.53472222222222221</v>
      </c>
      <c r="D375" s="33" t="s">
        <v>747</v>
      </c>
      <c r="E375" s="11" t="s">
        <v>73</v>
      </c>
      <c r="F375" s="33" t="s">
        <v>1127</v>
      </c>
      <c r="G375" s="33" t="s">
        <v>28</v>
      </c>
      <c r="H375" s="26" t="s">
        <v>49</v>
      </c>
      <c r="I375" s="26" t="s">
        <v>50</v>
      </c>
      <c r="J375" s="33" t="s">
        <v>92</v>
      </c>
      <c r="K375" s="33" t="s">
        <v>559</v>
      </c>
      <c r="L375" s="33"/>
      <c r="M375" s="43" t="s">
        <v>1412</v>
      </c>
      <c r="N375" s="43" t="s">
        <v>1381</v>
      </c>
      <c r="O375" s="33">
        <v>16.5</v>
      </c>
      <c r="P375" s="33">
        <v>22.5</v>
      </c>
      <c r="Q375" s="53" t="s">
        <v>1410</v>
      </c>
      <c r="R375" s="53" t="s">
        <v>1411</v>
      </c>
      <c r="S375" s="43" t="s">
        <v>28</v>
      </c>
      <c r="T375" s="43" t="s">
        <v>40</v>
      </c>
      <c r="U375" s="33" t="s">
        <v>884</v>
      </c>
      <c r="V375" s="33" t="s">
        <v>40</v>
      </c>
      <c r="W375" s="33" t="s">
        <v>80</v>
      </c>
      <c r="X375" s="44" t="s">
        <v>1416</v>
      </c>
      <c r="Y375" s="33" t="s">
        <v>632</v>
      </c>
      <c r="Z375" s="33" t="s">
        <v>72</v>
      </c>
      <c r="AA375" s="33">
        <v>0</v>
      </c>
      <c r="AB375" s="33">
        <v>2.2999999999999998</v>
      </c>
      <c r="AC375" s="32">
        <v>67000</v>
      </c>
      <c r="AD375" s="12">
        <f t="shared" si="10"/>
        <v>0</v>
      </c>
      <c r="AE375" s="12">
        <f t="shared" si="18"/>
        <v>6420.833333333333</v>
      </c>
      <c r="AF375" s="44" t="s">
        <v>1431</v>
      </c>
    </row>
    <row r="376" spans="1:32" ht="39.6" x14ac:dyDescent="0.25">
      <c r="A376" s="8">
        <v>375</v>
      </c>
      <c r="B376" s="60">
        <v>46109</v>
      </c>
      <c r="C376" s="35">
        <v>0.53472222222222221</v>
      </c>
      <c r="D376" s="33" t="s">
        <v>747</v>
      </c>
      <c r="E376" s="33" t="s">
        <v>1127</v>
      </c>
      <c r="F376" s="33" t="s">
        <v>1127</v>
      </c>
      <c r="G376" s="43" t="s">
        <v>28</v>
      </c>
      <c r="H376" s="26" t="s">
        <v>49</v>
      </c>
      <c r="I376" s="26" t="s">
        <v>50</v>
      </c>
      <c r="J376" s="33" t="s">
        <v>92</v>
      </c>
      <c r="K376" s="33" t="s">
        <v>75</v>
      </c>
      <c r="L376" s="33"/>
      <c r="M376" s="43" t="s">
        <v>1413</v>
      </c>
      <c r="N376" s="43" t="s">
        <v>75</v>
      </c>
      <c r="O376" s="33">
        <v>65</v>
      </c>
      <c r="P376" s="33">
        <v>55</v>
      </c>
      <c r="Q376" s="53" t="s">
        <v>1414</v>
      </c>
      <c r="R376" s="53" t="s">
        <v>1415</v>
      </c>
      <c r="S376" s="43" t="s">
        <v>28</v>
      </c>
      <c r="T376" s="43" t="s">
        <v>40</v>
      </c>
      <c r="U376" s="33" t="s">
        <v>884</v>
      </c>
      <c r="V376" s="33" t="s">
        <v>40</v>
      </c>
      <c r="W376" s="33" t="s">
        <v>80</v>
      </c>
      <c r="X376" s="44" t="s">
        <v>1416</v>
      </c>
      <c r="Y376" s="33" t="s">
        <v>632</v>
      </c>
      <c r="Z376" s="33" t="s">
        <v>72</v>
      </c>
      <c r="AA376" s="33">
        <v>0</v>
      </c>
      <c r="AB376" s="33">
        <v>0</v>
      </c>
      <c r="AC376" s="32">
        <v>67000</v>
      </c>
      <c r="AD376" s="12">
        <f t="shared" si="10"/>
        <v>0</v>
      </c>
      <c r="AE376" s="12">
        <f t="shared" si="18"/>
        <v>0</v>
      </c>
      <c r="AF376" s="44" t="s">
        <v>1454</v>
      </c>
    </row>
    <row r="377" spans="1:32" ht="14.4" x14ac:dyDescent="0.25">
      <c r="A377" s="8">
        <v>376</v>
      </c>
      <c r="B377" s="60">
        <v>46109</v>
      </c>
      <c r="C377" s="35">
        <v>0.5625</v>
      </c>
      <c r="D377" s="43" t="s">
        <v>616</v>
      </c>
      <c r="E377" s="11" t="s">
        <v>73</v>
      </c>
      <c r="F377" s="43" t="s">
        <v>1401</v>
      </c>
      <c r="G377" s="43" t="s">
        <v>48</v>
      </c>
      <c r="H377" s="26" t="s">
        <v>49</v>
      </c>
      <c r="I377" s="26" t="s">
        <v>50</v>
      </c>
      <c r="J377" s="33" t="s">
        <v>92</v>
      </c>
      <c r="K377" s="33" t="s">
        <v>559</v>
      </c>
      <c r="L377" s="33"/>
      <c r="M377" s="43" t="s">
        <v>1412</v>
      </c>
      <c r="N377" s="43" t="s">
        <v>1071</v>
      </c>
      <c r="O377" s="33">
        <v>4</v>
      </c>
      <c r="P377" s="33">
        <v>4.5</v>
      </c>
      <c r="Q377" s="53" t="s">
        <v>1417</v>
      </c>
      <c r="R377" s="53" t="s">
        <v>1418</v>
      </c>
      <c r="S377" s="43" t="s">
        <v>48</v>
      </c>
      <c r="T377" s="43" t="s">
        <v>40</v>
      </c>
      <c r="U377" s="33" t="s">
        <v>884</v>
      </c>
      <c r="V377" s="33" t="s">
        <v>40</v>
      </c>
      <c r="W377" s="33" t="s">
        <v>40</v>
      </c>
      <c r="X377" s="44" t="s">
        <v>1230</v>
      </c>
      <c r="Y377" s="33" t="s">
        <v>632</v>
      </c>
      <c r="Z377" s="33" t="s">
        <v>72</v>
      </c>
      <c r="AA377" s="33">
        <v>0.7</v>
      </c>
      <c r="AB377" s="33">
        <v>0</v>
      </c>
      <c r="AC377" s="32">
        <v>67000</v>
      </c>
      <c r="AD377" s="12">
        <f t="shared" si="10"/>
        <v>1954.1666666666665</v>
      </c>
      <c r="AE377" s="12">
        <f t="shared" si="18"/>
        <v>0</v>
      </c>
      <c r="AF377" s="44" t="s">
        <v>1430</v>
      </c>
    </row>
    <row r="378" spans="1:32" ht="26.4" x14ac:dyDescent="0.25">
      <c r="A378" s="8">
        <v>377</v>
      </c>
      <c r="B378" s="60">
        <v>46109</v>
      </c>
      <c r="C378" s="35">
        <v>0.5625</v>
      </c>
      <c r="D378" s="43" t="s">
        <v>616</v>
      </c>
      <c r="E378" s="11" t="s">
        <v>73</v>
      </c>
      <c r="F378" s="43" t="s">
        <v>1401</v>
      </c>
      <c r="G378" s="43" t="s">
        <v>48</v>
      </c>
      <c r="H378" s="26" t="s">
        <v>49</v>
      </c>
      <c r="I378" s="26" t="s">
        <v>50</v>
      </c>
      <c r="J378" s="33" t="s">
        <v>92</v>
      </c>
      <c r="K378" s="33" t="s">
        <v>75</v>
      </c>
      <c r="L378" s="33"/>
      <c r="M378" s="43" t="s">
        <v>1413</v>
      </c>
      <c r="N378" s="43" t="s">
        <v>75</v>
      </c>
      <c r="O378" s="33">
        <v>95</v>
      </c>
      <c r="P378" s="33">
        <v>75</v>
      </c>
      <c r="Q378" s="53" t="s">
        <v>1414</v>
      </c>
      <c r="R378" s="53" t="s">
        <v>1415</v>
      </c>
      <c r="S378" s="43" t="s">
        <v>48</v>
      </c>
      <c r="T378" s="43" t="s">
        <v>40</v>
      </c>
      <c r="U378" s="33" t="s">
        <v>884</v>
      </c>
      <c r="V378" s="33" t="s">
        <v>40</v>
      </c>
      <c r="W378" s="33" t="s">
        <v>40</v>
      </c>
      <c r="X378" s="44" t="s">
        <v>1230</v>
      </c>
      <c r="Y378" s="33" t="s">
        <v>632</v>
      </c>
      <c r="Z378" s="33" t="s">
        <v>72</v>
      </c>
      <c r="AA378" s="33">
        <v>4.5</v>
      </c>
      <c r="AB378" s="33">
        <v>0</v>
      </c>
      <c r="AC378" s="32">
        <v>67000</v>
      </c>
      <c r="AD378" s="12">
        <f t="shared" si="10"/>
        <v>12562.5</v>
      </c>
      <c r="AE378" s="12">
        <f t="shared" si="18"/>
        <v>0</v>
      </c>
      <c r="AF378" s="44" t="s">
        <v>1429</v>
      </c>
    </row>
    <row r="379" spans="1:32" ht="26.4" x14ac:dyDescent="0.25">
      <c r="A379" s="8">
        <v>378</v>
      </c>
      <c r="B379" s="60">
        <v>46109</v>
      </c>
      <c r="C379" s="35">
        <v>0.88541666666666663</v>
      </c>
      <c r="D379" s="43" t="s">
        <v>616</v>
      </c>
      <c r="E379" s="11" t="s">
        <v>73</v>
      </c>
      <c r="F379" s="43" t="s">
        <v>1401</v>
      </c>
      <c r="G379" s="43" t="s">
        <v>48</v>
      </c>
      <c r="H379" s="26" t="s">
        <v>49</v>
      </c>
      <c r="I379" s="26" t="s">
        <v>50</v>
      </c>
      <c r="J379" s="33" t="s">
        <v>214</v>
      </c>
      <c r="K379" s="33" t="s">
        <v>193</v>
      </c>
      <c r="L379" s="33"/>
      <c r="M379" s="33" t="s">
        <v>1422</v>
      </c>
      <c r="N379" s="33"/>
      <c r="O379" s="33"/>
      <c r="P379" s="33"/>
      <c r="Q379" s="44" t="s">
        <v>1419</v>
      </c>
      <c r="R379" s="44" t="s">
        <v>1420</v>
      </c>
      <c r="S379" s="33" t="s">
        <v>48</v>
      </c>
      <c r="T379" s="33" t="s">
        <v>40</v>
      </c>
      <c r="U379" s="33" t="s">
        <v>884</v>
      </c>
      <c r="V379" s="17" t="s">
        <v>40</v>
      </c>
      <c r="W379" s="17" t="s">
        <v>40</v>
      </c>
      <c r="X379" s="44" t="s">
        <v>1421</v>
      </c>
      <c r="Y379" s="43" t="s">
        <v>648</v>
      </c>
      <c r="Z379" s="33" t="s">
        <v>123</v>
      </c>
      <c r="AA379" s="33">
        <v>0</v>
      </c>
      <c r="AB379" s="33">
        <v>0</v>
      </c>
      <c r="AC379" s="32">
        <v>67000</v>
      </c>
      <c r="AD379" s="12">
        <f t="shared" si="10"/>
        <v>0</v>
      </c>
      <c r="AE379" s="12">
        <f t="shared" ref="AE379:AE433" si="19">AB379/24*AC379</f>
        <v>0</v>
      </c>
      <c r="AF379" s="44"/>
    </row>
    <row r="380" spans="1:32" ht="14.4" x14ac:dyDescent="0.25">
      <c r="A380" s="8">
        <v>379</v>
      </c>
      <c r="B380" s="60">
        <v>46110</v>
      </c>
      <c r="C380" s="35">
        <v>0.29166666666666669</v>
      </c>
      <c r="D380" s="43" t="s">
        <v>616</v>
      </c>
      <c r="E380" s="11" t="s">
        <v>73</v>
      </c>
      <c r="F380" s="43" t="s">
        <v>1401</v>
      </c>
      <c r="G380" s="43" t="s">
        <v>48</v>
      </c>
      <c r="H380" s="26" t="s">
        <v>49</v>
      </c>
      <c r="I380" s="26" t="s">
        <v>50</v>
      </c>
      <c r="J380" s="33" t="s">
        <v>92</v>
      </c>
      <c r="K380" s="33" t="s">
        <v>1126</v>
      </c>
      <c r="L380" s="33"/>
      <c r="M380" s="33" t="s">
        <v>1318</v>
      </c>
      <c r="N380" s="33"/>
      <c r="O380" s="33"/>
      <c r="P380" s="33"/>
      <c r="Q380" s="44" t="s">
        <v>1309</v>
      </c>
      <c r="R380" s="44" t="s">
        <v>1317</v>
      </c>
      <c r="S380" s="43" t="s">
        <v>28</v>
      </c>
      <c r="T380" s="33" t="s">
        <v>40</v>
      </c>
      <c r="U380" s="33" t="s">
        <v>884</v>
      </c>
      <c r="V380" s="33" t="s">
        <v>40</v>
      </c>
      <c r="W380" s="33" t="s">
        <v>40</v>
      </c>
      <c r="X380" s="44" t="s">
        <v>1230</v>
      </c>
      <c r="Y380" s="33" t="s">
        <v>632</v>
      </c>
      <c r="Z380" s="33" t="s">
        <v>72</v>
      </c>
      <c r="AA380" s="33">
        <v>5</v>
      </c>
      <c r="AB380" s="33">
        <v>0</v>
      </c>
      <c r="AC380" s="32">
        <v>67000</v>
      </c>
      <c r="AD380" s="12">
        <f t="shared" si="10"/>
        <v>13958.333333333334</v>
      </c>
      <c r="AE380" s="12">
        <f t="shared" si="18"/>
        <v>0</v>
      </c>
      <c r="AF380" s="53" t="s">
        <v>1311</v>
      </c>
    </row>
    <row r="381" spans="1:32" ht="14.4" x14ac:dyDescent="0.25">
      <c r="A381" s="8">
        <v>380</v>
      </c>
      <c r="B381" s="60">
        <v>46110</v>
      </c>
      <c r="C381" s="35">
        <v>0.42708333333333331</v>
      </c>
      <c r="D381" s="43" t="s">
        <v>616</v>
      </c>
      <c r="E381" s="11" t="s">
        <v>73</v>
      </c>
      <c r="F381" s="43" t="s">
        <v>1401</v>
      </c>
      <c r="G381" s="43" t="s">
        <v>48</v>
      </c>
      <c r="H381" s="26" t="s">
        <v>49</v>
      </c>
      <c r="I381" s="26" t="s">
        <v>50</v>
      </c>
      <c r="J381" s="33" t="s">
        <v>92</v>
      </c>
      <c r="K381" s="33" t="s">
        <v>559</v>
      </c>
      <c r="L381" s="33"/>
      <c r="M381" s="43" t="s">
        <v>1007</v>
      </c>
      <c r="N381" s="43"/>
      <c r="O381" s="33"/>
      <c r="P381" s="33"/>
      <c r="Q381" s="53" t="s">
        <v>1423</v>
      </c>
      <c r="R381" s="53" t="s">
        <v>1424</v>
      </c>
      <c r="S381" s="43" t="s">
        <v>48</v>
      </c>
      <c r="T381" s="43" t="s">
        <v>40</v>
      </c>
      <c r="U381" s="33" t="s">
        <v>884</v>
      </c>
      <c r="V381" s="33" t="s">
        <v>40</v>
      </c>
      <c r="W381" s="33" t="s">
        <v>40</v>
      </c>
      <c r="X381" s="44" t="s">
        <v>1421</v>
      </c>
      <c r="Y381" s="33" t="s">
        <v>632</v>
      </c>
      <c r="Z381" s="33" t="s">
        <v>72</v>
      </c>
      <c r="AA381" s="33">
        <v>0</v>
      </c>
      <c r="AB381" s="33">
        <v>0</v>
      </c>
      <c r="AC381" s="32">
        <v>67000</v>
      </c>
      <c r="AD381" s="12">
        <f t="shared" si="10"/>
        <v>0</v>
      </c>
      <c r="AE381" s="12">
        <f t="shared" si="19"/>
        <v>0</v>
      </c>
      <c r="AF381" s="44"/>
    </row>
    <row r="382" spans="1:32" ht="14.4" x14ac:dyDescent="0.25">
      <c r="A382" s="8">
        <v>381</v>
      </c>
      <c r="B382" s="60">
        <v>46110</v>
      </c>
      <c r="C382" s="35">
        <v>0.47916666666666669</v>
      </c>
      <c r="D382" s="43" t="s">
        <v>580</v>
      </c>
      <c r="E382" s="11" t="s">
        <v>73</v>
      </c>
      <c r="F382" s="43" t="s">
        <v>1283</v>
      </c>
      <c r="G382" s="43" t="s">
        <v>63</v>
      </c>
      <c r="H382" s="26" t="s">
        <v>49</v>
      </c>
      <c r="I382" s="26" t="s">
        <v>50</v>
      </c>
      <c r="J382" s="33" t="s">
        <v>92</v>
      </c>
      <c r="K382" s="33" t="s">
        <v>559</v>
      </c>
      <c r="L382" s="33"/>
      <c r="M382" s="43" t="s">
        <v>1007</v>
      </c>
      <c r="N382" s="43"/>
      <c r="O382" s="33"/>
      <c r="P382" s="33"/>
      <c r="Q382" s="53" t="s">
        <v>1423</v>
      </c>
      <c r="R382" s="53" t="s">
        <v>1424</v>
      </c>
      <c r="S382" s="43" t="s">
        <v>63</v>
      </c>
      <c r="T382" s="43" t="s">
        <v>40</v>
      </c>
      <c r="U382" s="33" t="s">
        <v>884</v>
      </c>
      <c r="V382" s="33" t="s">
        <v>40</v>
      </c>
      <c r="W382" s="33" t="s">
        <v>40</v>
      </c>
      <c r="X382" s="44" t="s">
        <v>1421</v>
      </c>
      <c r="Y382" s="33" t="s">
        <v>632</v>
      </c>
      <c r="Z382" s="33" t="s">
        <v>72</v>
      </c>
      <c r="AA382" s="33">
        <v>0</v>
      </c>
      <c r="AB382" s="33">
        <v>0</v>
      </c>
      <c r="AC382" s="32">
        <v>67000</v>
      </c>
      <c r="AD382" s="12">
        <f t="shared" si="10"/>
        <v>0</v>
      </c>
      <c r="AE382" s="12">
        <f t="shared" si="19"/>
        <v>0</v>
      </c>
      <c r="AF382" s="53"/>
    </row>
    <row r="383" spans="1:32" ht="14.4" x14ac:dyDescent="0.25">
      <c r="A383" s="8">
        <v>382</v>
      </c>
      <c r="B383" s="60">
        <v>46110</v>
      </c>
      <c r="C383" s="35">
        <v>0.5</v>
      </c>
      <c r="D383" s="43" t="s">
        <v>585</v>
      </c>
      <c r="E383" s="11" t="s">
        <v>73</v>
      </c>
      <c r="F383" s="33" t="s">
        <v>1129</v>
      </c>
      <c r="G383" s="43" t="s">
        <v>163</v>
      </c>
      <c r="H383" s="26" t="s">
        <v>49</v>
      </c>
      <c r="I383" s="26" t="s">
        <v>50</v>
      </c>
      <c r="J383" s="33" t="s">
        <v>214</v>
      </c>
      <c r="K383" s="33" t="s">
        <v>214</v>
      </c>
      <c r="L383" s="33"/>
      <c r="M383" s="43" t="s">
        <v>1054</v>
      </c>
      <c r="N383" s="43"/>
      <c r="O383" s="33"/>
      <c r="P383" s="33"/>
      <c r="Q383" s="53" t="s">
        <v>1425</v>
      </c>
      <c r="R383" s="53" t="s">
        <v>1320</v>
      </c>
      <c r="S383" s="43" t="s">
        <v>163</v>
      </c>
      <c r="T383" s="33" t="s">
        <v>40</v>
      </c>
      <c r="U383" s="43" t="s">
        <v>1374</v>
      </c>
      <c r="V383" s="17" t="s">
        <v>40</v>
      </c>
      <c r="W383" s="17" t="s">
        <v>40</v>
      </c>
      <c r="X383" s="44" t="s">
        <v>1421</v>
      </c>
      <c r="Y383" s="43" t="s">
        <v>1426</v>
      </c>
      <c r="Z383" s="33" t="s">
        <v>72</v>
      </c>
      <c r="AA383" s="33">
        <v>0</v>
      </c>
      <c r="AB383" s="33">
        <v>0</v>
      </c>
      <c r="AC383" s="32">
        <v>67000</v>
      </c>
      <c r="AD383" s="12">
        <f t="shared" si="10"/>
        <v>0</v>
      </c>
      <c r="AE383" s="12">
        <f t="shared" si="19"/>
        <v>0</v>
      </c>
      <c r="AF383" s="44"/>
    </row>
    <row r="384" spans="1:32" ht="14.4" x14ac:dyDescent="0.25">
      <c r="A384" s="8">
        <v>383</v>
      </c>
      <c r="B384" s="60">
        <v>46110</v>
      </c>
      <c r="C384" s="35">
        <v>0.54166666666666663</v>
      </c>
      <c r="D384" s="33" t="s">
        <v>747</v>
      </c>
      <c r="E384" s="11" t="s">
        <v>73</v>
      </c>
      <c r="F384" s="33" t="s">
        <v>1127</v>
      </c>
      <c r="G384" s="33" t="s">
        <v>28</v>
      </c>
      <c r="H384" s="26" t="s">
        <v>49</v>
      </c>
      <c r="I384" s="26" t="s">
        <v>50</v>
      </c>
      <c r="J384" s="33" t="s">
        <v>92</v>
      </c>
      <c r="K384" s="33" t="s">
        <v>559</v>
      </c>
      <c r="L384" s="33"/>
      <c r="M384" s="43" t="s">
        <v>1412</v>
      </c>
      <c r="N384" s="43" t="s">
        <v>1381</v>
      </c>
      <c r="O384" s="33">
        <v>16.5</v>
      </c>
      <c r="P384" s="33">
        <v>22.5</v>
      </c>
      <c r="Q384" s="53" t="s">
        <v>1410</v>
      </c>
      <c r="R384" s="53" t="s">
        <v>1411</v>
      </c>
      <c r="S384" s="43" t="s">
        <v>28</v>
      </c>
      <c r="T384" s="43" t="s">
        <v>40</v>
      </c>
      <c r="U384" s="33" t="s">
        <v>884</v>
      </c>
      <c r="V384" s="33" t="s">
        <v>40</v>
      </c>
      <c r="W384" s="33" t="s">
        <v>80</v>
      </c>
      <c r="X384" s="44" t="s">
        <v>1416</v>
      </c>
      <c r="Y384" s="33" t="s">
        <v>632</v>
      </c>
      <c r="Z384" s="33" t="s">
        <v>72</v>
      </c>
      <c r="AA384" s="33">
        <v>0</v>
      </c>
      <c r="AB384" s="33">
        <v>0</v>
      </c>
      <c r="AC384" s="32">
        <v>67000</v>
      </c>
      <c r="AD384" s="12">
        <f t="shared" si="10"/>
        <v>0</v>
      </c>
      <c r="AE384" s="12">
        <f t="shared" si="19"/>
        <v>0</v>
      </c>
      <c r="AF384" s="44"/>
    </row>
    <row r="385" spans="1:32" ht="26.4" x14ac:dyDescent="0.25">
      <c r="A385" s="8">
        <v>384</v>
      </c>
      <c r="B385" s="60">
        <v>46110</v>
      </c>
      <c r="C385" s="35">
        <v>0.54166666666666663</v>
      </c>
      <c r="D385" s="33" t="s">
        <v>747</v>
      </c>
      <c r="E385" s="11" t="s">
        <v>73</v>
      </c>
      <c r="F385" s="33" t="s">
        <v>1127</v>
      </c>
      <c r="G385" s="43" t="s">
        <v>28</v>
      </c>
      <c r="H385" s="26" t="s">
        <v>49</v>
      </c>
      <c r="I385" s="26" t="s">
        <v>50</v>
      </c>
      <c r="J385" s="33" t="s">
        <v>92</v>
      </c>
      <c r="K385" s="33" t="s">
        <v>75</v>
      </c>
      <c r="L385" s="33"/>
      <c r="M385" s="43" t="s">
        <v>1413</v>
      </c>
      <c r="N385" s="43" t="s">
        <v>75</v>
      </c>
      <c r="O385" s="33">
        <v>65</v>
      </c>
      <c r="P385" s="33">
        <v>55</v>
      </c>
      <c r="Q385" s="53" t="s">
        <v>1414</v>
      </c>
      <c r="R385" s="53" t="s">
        <v>1415</v>
      </c>
      <c r="S385" s="43" t="s">
        <v>28</v>
      </c>
      <c r="T385" s="43" t="s">
        <v>40</v>
      </c>
      <c r="U385" s="33" t="s">
        <v>884</v>
      </c>
      <c r="V385" s="33" t="s">
        <v>40</v>
      </c>
      <c r="W385" s="33" t="s">
        <v>80</v>
      </c>
      <c r="X385" s="44" t="s">
        <v>1416</v>
      </c>
      <c r="Y385" s="33" t="s">
        <v>632</v>
      </c>
      <c r="Z385" s="33" t="s">
        <v>72</v>
      </c>
      <c r="AA385" s="33">
        <v>0</v>
      </c>
      <c r="AB385" s="33">
        <v>0</v>
      </c>
      <c r="AC385" s="32">
        <v>67000</v>
      </c>
      <c r="AD385" s="12">
        <f t="shared" si="10"/>
        <v>0</v>
      </c>
      <c r="AE385" s="12">
        <f t="shared" si="19"/>
        <v>0</v>
      </c>
      <c r="AF385" s="44"/>
    </row>
    <row r="386" spans="1:32" ht="39.6" x14ac:dyDescent="0.25">
      <c r="A386" s="8">
        <v>385</v>
      </c>
      <c r="B386" s="60">
        <v>46110</v>
      </c>
      <c r="C386" s="35">
        <v>0.80833333333333335</v>
      </c>
      <c r="D386" s="33" t="s">
        <v>747</v>
      </c>
      <c r="E386" s="11" t="s">
        <v>73</v>
      </c>
      <c r="F386" s="33" t="s">
        <v>1127</v>
      </c>
      <c r="G386" s="43" t="s">
        <v>28</v>
      </c>
      <c r="H386" s="26" t="s">
        <v>49</v>
      </c>
      <c r="I386" s="26" t="s">
        <v>50</v>
      </c>
      <c r="J386" s="33" t="s">
        <v>92</v>
      </c>
      <c r="K386" s="33" t="s">
        <v>75</v>
      </c>
      <c r="L386" s="33"/>
      <c r="M386" s="43" t="s">
        <v>1433</v>
      </c>
      <c r="N386" s="43" t="s">
        <v>165</v>
      </c>
      <c r="O386" s="33">
        <v>140</v>
      </c>
      <c r="P386" s="33">
        <v>130</v>
      </c>
      <c r="Q386" s="53" t="s">
        <v>1434</v>
      </c>
      <c r="R386" s="53" t="s">
        <v>1435</v>
      </c>
      <c r="S386" s="43" t="s">
        <v>28</v>
      </c>
      <c r="T386" s="43" t="s">
        <v>40</v>
      </c>
      <c r="U386" s="33" t="s">
        <v>884</v>
      </c>
      <c r="V386" s="33" t="s">
        <v>40</v>
      </c>
      <c r="W386" s="33" t="s">
        <v>80</v>
      </c>
      <c r="X386" s="44" t="s">
        <v>1436</v>
      </c>
      <c r="Y386" s="33" t="s">
        <v>801</v>
      </c>
      <c r="Z386" s="33" t="s">
        <v>123</v>
      </c>
      <c r="AA386" s="33">
        <v>0</v>
      </c>
      <c r="AB386" s="33">
        <v>0</v>
      </c>
      <c r="AC386" s="32">
        <v>67000</v>
      </c>
      <c r="AD386" s="12">
        <f t="shared" si="10"/>
        <v>0</v>
      </c>
      <c r="AE386" s="12">
        <f t="shared" si="19"/>
        <v>0</v>
      </c>
      <c r="AF386" s="44"/>
    </row>
    <row r="387" spans="1:32" ht="26.4" x14ac:dyDescent="0.25">
      <c r="A387" s="8">
        <v>386</v>
      </c>
      <c r="B387" s="60">
        <v>46111</v>
      </c>
      <c r="C387" s="35">
        <v>0.2326388888888889</v>
      </c>
      <c r="D387" s="43" t="s">
        <v>747</v>
      </c>
      <c r="E387" s="11" t="s">
        <v>73</v>
      </c>
      <c r="F387" s="43" t="s">
        <v>1127</v>
      </c>
      <c r="G387" s="43" t="s">
        <v>28</v>
      </c>
      <c r="H387" s="26" t="s">
        <v>49</v>
      </c>
      <c r="I387" s="26" t="s">
        <v>50</v>
      </c>
      <c r="J387" s="33" t="s">
        <v>214</v>
      </c>
      <c r="K387" s="33" t="s">
        <v>193</v>
      </c>
      <c r="L387" s="33"/>
      <c r="M387" s="33" t="s">
        <v>1440</v>
      </c>
      <c r="N387" s="33"/>
      <c r="O387" s="33"/>
      <c r="P387" s="33"/>
      <c r="Q387" s="44" t="s">
        <v>1437</v>
      </c>
      <c r="R387" s="44" t="s">
        <v>1441</v>
      </c>
      <c r="S387" s="33" t="s">
        <v>28</v>
      </c>
      <c r="T387" s="33" t="s">
        <v>40</v>
      </c>
      <c r="U387" s="33" t="s">
        <v>1438</v>
      </c>
      <c r="V387" s="17" t="s">
        <v>40</v>
      </c>
      <c r="W387" s="17" t="s">
        <v>40</v>
      </c>
      <c r="X387" s="44" t="s">
        <v>1439</v>
      </c>
      <c r="Y387" s="43" t="s">
        <v>648</v>
      </c>
      <c r="Z387" s="33" t="s">
        <v>123</v>
      </c>
      <c r="AA387" s="33">
        <v>0</v>
      </c>
      <c r="AB387" s="33">
        <v>0</v>
      </c>
      <c r="AC387" s="32">
        <v>67000</v>
      </c>
      <c r="AD387" s="12">
        <f t="shared" ref="AD387" si="20">AA387/24*AC387</f>
        <v>0</v>
      </c>
      <c r="AE387" s="12">
        <f t="shared" ref="AE387" si="21">AB387/24*AC387</f>
        <v>0</v>
      </c>
      <c r="AF387" s="44"/>
    </row>
    <row r="388" spans="1:32" ht="26.4" x14ac:dyDescent="0.25">
      <c r="A388" s="8">
        <v>387</v>
      </c>
      <c r="B388" s="60">
        <v>46111</v>
      </c>
      <c r="C388" s="35">
        <v>0.30555555555555558</v>
      </c>
      <c r="D388" s="43" t="s">
        <v>747</v>
      </c>
      <c r="E388" s="11" t="s">
        <v>73</v>
      </c>
      <c r="F388" s="43" t="s">
        <v>1127</v>
      </c>
      <c r="G388" s="43" t="s">
        <v>28</v>
      </c>
      <c r="H388" s="26" t="s">
        <v>49</v>
      </c>
      <c r="I388" s="26" t="s">
        <v>50</v>
      </c>
      <c r="J388" s="33" t="s">
        <v>110</v>
      </c>
      <c r="K388" s="33" t="s">
        <v>65</v>
      </c>
      <c r="L388" s="33"/>
      <c r="M388" s="43" t="s">
        <v>1443</v>
      </c>
      <c r="N388" s="43" t="s">
        <v>1240</v>
      </c>
      <c r="O388" s="33">
        <v>270</v>
      </c>
      <c r="P388" s="33">
        <v>285</v>
      </c>
      <c r="Q388" s="53" t="s">
        <v>1442</v>
      </c>
      <c r="R388" s="53" t="s">
        <v>1444</v>
      </c>
      <c r="S388" s="43">
        <v>16</v>
      </c>
      <c r="T388" s="43" t="s">
        <v>40</v>
      </c>
      <c r="U388" s="33" t="s">
        <v>1438</v>
      </c>
      <c r="V388" s="33" t="s">
        <v>40</v>
      </c>
      <c r="W388" s="33" t="s">
        <v>40</v>
      </c>
      <c r="X388" s="44" t="s">
        <v>1439</v>
      </c>
      <c r="Y388" s="33" t="s">
        <v>632</v>
      </c>
      <c r="Z388" s="33" t="s">
        <v>72</v>
      </c>
      <c r="AA388" s="33">
        <v>0</v>
      </c>
      <c r="AB388" s="33">
        <v>0</v>
      </c>
      <c r="AC388" s="32">
        <v>67000</v>
      </c>
      <c r="AD388" s="12">
        <f t="shared" ref="AD388:AD410" si="22">AA388/24*AC388</f>
        <v>0</v>
      </c>
      <c r="AE388" s="12">
        <f t="shared" si="19"/>
        <v>0</v>
      </c>
      <c r="AF388" s="44"/>
    </row>
    <row r="389" spans="1:32" ht="26.4" x14ac:dyDescent="0.25">
      <c r="A389" s="8">
        <v>388</v>
      </c>
      <c r="B389" s="60">
        <v>46113</v>
      </c>
      <c r="C389" s="35">
        <v>8.611111111111111E-2</v>
      </c>
      <c r="D389" s="43" t="s">
        <v>585</v>
      </c>
      <c r="E389" s="11" t="s">
        <v>73</v>
      </c>
      <c r="F389" s="33" t="s">
        <v>1129</v>
      </c>
      <c r="G389" s="43" t="s">
        <v>163</v>
      </c>
      <c r="H389" s="26" t="s">
        <v>49</v>
      </c>
      <c r="I389" s="26" t="s">
        <v>50</v>
      </c>
      <c r="J389" s="33" t="s">
        <v>110</v>
      </c>
      <c r="K389" s="33" t="s">
        <v>32</v>
      </c>
      <c r="L389" s="33"/>
      <c r="M389" s="43" t="s">
        <v>170</v>
      </c>
      <c r="N389" s="43"/>
      <c r="O389" s="33"/>
      <c r="P389" s="33"/>
      <c r="Q389" s="53" t="s">
        <v>1451</v>
      </c>
      <c r="R389" s="53" t="s">
        <v>1448</v>
      </c>
      <c r="S389" s="43" t="s">
        <v>163</v>
      </c>
      <c r="T389" s="33" t="s">
        <v>40</v>
      </c>
      <c r="U389" s="43" t="s">
        <v>1449</v>
      </c>
      <c r="V389" s="33" t="s">
        <v>40</v>
      </c>
      <c r="W389" s="33" t="s">
        <v>40</v>
      </c>
      <c r="X389" s="44" t="s">
        <v>1450</v>
      </c>
      <c r="Y389" s="43" t="s">
        <v>648</v>
      </c>
      <c r="Z389" s="33" t="s">
        <v>123</v>
      </c>
      <c r="AA389" s="33">
        <v>0</v>
      </c>
      <c r="AB389" s="33">
        <v>0</v>
      </c>
      <c r="AC389" s="32">
        <v>67000</v>
      </c>
      <c r="AD389" s="12">
        <f t="shared" si="22"/>
        <v>0</v>
      </c>
      <c r="AE389" s="12">
        <f t="shared" ref="AE389" si="23">AB389/24*AC389</f>
        <v>0</v>
      </c>
      <c r="AF389" s="44"/>
    </row>
    <row r="390" spans="1:32" ht="14.4" x14ac:dyDescent="0.25">
      <c r="A390" s="8">
        <v>389</v>
      </c>
      <c r="B390" s="60">
        <v>46113</v>
      </c>
      <c r="C390" s="35">
        <v>0.48958333333333331</v>
      </c>
      <c r="D390" s="43" t="s">
        <v>585</v>
      </c>
      <c r="E390" s="11" t="s">
        <v>73</v>
      </c>
      <c r="F390" s="33" t="s">
        <v>1129</v>
      </c>
      <c r="G390" s="43" t="s">
        <v>163</v>
      </c>
      <c r="H390" s="26" t="s">
        <v>49</v>
      </c>
      <c r="I390" s="26" t="s">
        <v>50</v>
      </c>
      <c r="J390" s="33" t="s">
        <v>92</v>
      </c>
      <c r="K390" s="33" t="s">
        <v>559</v>
      </c>
      <c r="L390" s="33"/>
      <c r="M390" s="43" t="s">
        <v>1452</v>
      </c>
      <c r="N390" s="43" t="s">
        <v>1381</v>
      </c>
      <c r="O390" s="33">
        <v>17</v>
      </c>
      <c r="P390" s="33">
        <v>21.5</v>
      </c>
      <c r="Q390" s="53" t="s">
        <v>1453</v>
      </c>
      <c r="R390" s="53" t="s">
        <v>1411</v>
      </c>
      <c r="S390" s="43" t="s">
        <v>163</v>
      </c>
      <c r="T390" s="33" t="s">
        <v>40</v>
      </c>
      <c r="U390" s="43" t="s">
        <v>1449</v>
      </c>
      <c r="V390" s="33" t="s">
        <v>40</v>
      </c>
      <c r="W390" s="33" t="s">
        <v>40</v>
      </c>
      <c r="X390" s="44" t="s">
        <v>1421</v>
      </c>
      <c r="Y390" s="33" t="s">
        <v>641</v>
      </c>
      <c r="Z390" s="33" t="s">
        <v>72</v>
      </c>
      <c r="AA390" s="33">
        <v>0</v>
      </c>
      <c r="AB390" s="33">
        <v>0</v>
      </c>
      <c r="AC390" s="32">
        <v>67000</v>
      </c>
      <c r="AD390" s="12">
        <f t="shared" si="22"/>
        <v>0</v>
      </c>
      <c r="AE390" s="12">
        <f t="shared" si="19"/>
        <v>0</v>
      </c>
      <c r="AF390" s="44" t="s">
        <v>1575</v>
      </c>
    </row>
    <row r="391" spans="1:32" ht="14.4" x14ac:dyDescent="0.25">
      <c r="A391" s="8">
        <v>390</v>
      </c>
      <c r="B391" s="60">
        <v>46113</v>
      </c>
      <c r="C391" s="35">
        <v>0.79513888888888884</v>
      </c>
      <c r="D391" s="43" t="s">
        <v>616</v>
      </c>
      <c r="E391" s="11" t="s">
        <v>73</v>
      </c>
      <c r="F391" s="43" t="s">
        <v>1401</v>
      </c>
      <c r="G391" s="43" t="s">
        <v>28</v>
      </c>
      <c r="H391" s="26" t="s">
        <v>49</v>
      </c>
      <c r="I391" s="26" t="s">
        <v>50</v>
      </c>
      <c r="J391" s="33" t="s">
        <v>92</v>
      </c>
      <c r="K391" s="33" t="s">
        <v>75</v>
      </c>
      <c r="L391" s="33"/>
      <c r="M391" s="43" t="s">
        <v>51</v>
      </c>
      <c r="N391" s="43" t="s">
        <v>75</v>
      </c>
      <c r="O391" s="33"/>
      <c r="P391" s="33"/>
      <c r="Q391" s="53" t="s">
        <v>1455</v>
      </c>
      <c r="R391" s="53" t="s">
        <v>1456</v>
      </c>
      <c r="S391" s="43" t="s">
        <v>28</v>
      </c>
      <c r="T391" s="43" t="s">
        <v>40</v>
      </c>
      <c r="U391" s="33" t="s">
        <v>1460</v>
      </c>
      <c r="V391" s="33" t="s">
        <v>40</v>
      </c>
      <c r="W391" s="33" t="s">
        <v>80</v>
      </c>
      <c r="X391" s="44"/>
      <c r="Y391" s="33" t="s">
        <v>801</v>
      </c>
      <c r="Z391" s="33" t="s">
        <v>123</v>
      </c>
      <c r="AA391" s="33">
        <v>0</v>
      </c>
      <c r="AB391" s="33">
        <v>0</v>
      </c>
      <c r="AC391" s="32">
        <v>67000</v>
      </c>
      <c r="AD391" s="12">
        <f t="shared" si="22"/>
        <v>0</v>
      </c>
      <c r="AE391" s="12">
        <f t="shared" ref="AE391" si="24">AB391/24*AC391</f>
        <v>0</v>
      </c>
      <c r="AF391" s="44"/>
    </row>
    <row r="392" spans="1:32" ht="26.4" x14ac:dyDescent="0.25">
      <c r="A392" s="8">
        <v>391</v>
      </c>
      <c r="B392" s="60">
        <v>46113</v>
      </c>
      <c r="C392" s="35">
        <v>0.85</v>
      </c>
      <c r="D392" s="43" t="s">
        <v>616</v>
      </c>
      <c r="E392" s="11" t="s">
        <v>73</v>
      </c>
      <c r="F392" s="43" t="s">
        <v>1401</v>
      </c>
      <c r="G392" s="43" t="s">
        <v>28</v>
      </c>
      <c r="H392" s="26" t="s">
        <v>49</v>
      </c>
      <c r="I392" s="26" t="s">
        <v>50</v>
      </c>
      <c r="J392" s="33" t="s">
        <v>92</v>
      </c>
      <c r="K392" s="33" t="s">
        <v>75</v>
      </c>
      <c r="L392" s="33"/>
      <c r="M392" s="43" t="s">
        <v>1058</v>
      </c>
      <c r="N392" s="43" t="s">
        <v>75</v>
      </c>
      <c r="O392" s="33"/>
      <c r="P392" s="33"/>
      <c r="Q392" s="53" t="s">
        <v>1457</v>
      </c>
      <c r="R392" s="53" t="s">
        <v>1458</v>
      </c>
      <c r="S392" s="43" t="s">
        <v>28</v>
      </c>
      <c r="T392" s="43" t="s">
        <v>40</v>
      </c>
      <c r="U392" s="33" t="s">
        <v>1459</v>
      </c>
      <c r="V392" s="33" t="s">
        <v>40</v>
      </c>
      <c r="W392" s="33" t="s">
        <v>40</v>
      </c>
      <c r="X392" s="44" t="s">
        <v>1421</v>
      </c>
      <c r="Y392" s="33" t="s">
        <v>801</v>
      </c>
      <c r="Z392" s="33" t="s">
        <v>123</v>
      </c>
      <c r="AA392" s="33">
        <v>0</v>
      </c>
      <c r="AB392" s="33">
        <v>0</v>
      </c>
      <c r="AC392" s="32">
        <v>67000</v>
      </c>
      <c r="AD392" s="12">
        <f t="shared" si="22"/>
        <v>0</v>
      </c>
      <c r="AE392" s="12">
        <f t="shared" si="19"/>
        <v>0</v>
      </c>
      <c r="AF392" s="44"/>
    </row>
    <row r="393" spans="1:32" ht="26.4" x14ac:dyDescent="0.25">
      <c r="A393" s="8">
        <v>392</v>
      </c>
      <c r="B393" s="60">
        <v>46114</v>
      </c>
      <c r="C393" s="35">
        <v>5.8333333333333334E-2</v>
      </c>
      <c r="D393" s="43" t="s">
        <v>616</v>
      </c>
      <c r="E393" s="11" t="s">
        <v>73</v>
      </c>
      <c r="F393" s="43" t="s">
        <v>1401</v>
      </c>
      <c r="G393" s="43" t="s">
        <v>28</v>
      </c>
      <c r="H393" s="26" t="s">
        <v>49</v>
      </c>
      <c r="I393" s="26" t="s">
        <v>50</v>
      </c>
      <c r="J393" s="33" t="s">
        <v>110</v>
      </c>
      <c r="K393" s="33" t="s">
        <v>32</v>
      </c>
      <c r="L393" s="33"/>
      <c r="M393" s="43" t="s">
        <v>170</v>
      </c>
      <c r="N393" s="43" t="s">
        <v>223</v>
      </c>
      <c r="O393" s="33">
        <v>1300</v>
      </c>
      <c r="P393" s="33">
        <v>100</v>
      </c>
      <c r="Q393" s="53" t="s">
        <v>1461</v>
      </c>
      <c r="R393" s="53" t="s">
        <v>1462</v>
      </c>
      <c r="S393" s="43" t="s">
        <v>28</v>
      </c>
      <c r="T393" s="43" t="s">
        <v>40</v>
      </c>
      <c r="U393" s="33" t="s">
        <v>1464</v>
      </c>
      <c r="V393" s="33" t="s">
        <v>40</v>
      </c>
      <c r="W393" s="33" t="s">
        <v>40</v>
      </c>
      <c r="X393" s="44" t="s">
        <v>1463</v>
      </c>
      <c r="Y393" s="43" t="s">
        <v>648</v>
      </c>
      <c r="Z393" s="33" t="s">
        <v>123</v>
      </c>
      <c r="AA393" s="33">
        <v>0</v>
      </c>
      <c r="AB393" s="33">
        <v>0</v>
      </c>
      <c r="AC393" s="32">
        <v>67000</v>
      </c>
      <c r="AD393" s="12">
        <f t="shared" ref="AD393" si="25">AA393/24*AC393</f>
        <v>0</v>
      </c>
      <c r="AE393" s="12">
        <f t="shared" ref="AE393" si="26">AB393/24*AC393</f>
        <v>0</v>
      </c>
      <c r="AF393" s="44"/>
    </row>
    <row r="394" spans="1:32" ht="26.4" x14ac:dyDescent="0.25">
      <c r="A394" s="8">
        <v>393</v>
      </c>
      <c r="B394" s="60">
        <v>46114</v>
      </c>
      <c r="C394" s="35">
        <v>0.14930555555555555</v>
      </c>
      <c r="D394" s="43" t="s">
        <v>616</v>
      </c>
      <c r="E394" s="11" t="s">
        <v>73</v>
      </c>
      <c r="F394" s="43" t="s">
        <v>1401</v>
      </c>
      <c r="G394" s="43" t="s">
        <v>28</v>
      </c>
      <c r="H394" s="26" t="s">
        <v>49</v>
      </c>
      <c r="I394" s="26" t="s">
        <v>50</v>
      </c>
      <c r="J394" s="33" t="s">
        <v>31</v>
      </c>
      <c r="K394" s="33" t="s">
        <v>32</v>
      </c>
      <c r="L394" s="33"/>
      <c r="M394" s="43" t="s">
        <v>170</v>
      </c>
      <c r="N394" s="43" t="s">
        <v>223</v>
      </c>
      <c r="O394" s="33">
        <v>1300</v>
      </c>
      <c r="P394" s="33">
        <v>100</v>
      </c>
      <c r="Q394" s="53" t="s">
        <v>1465</v>
      </c>
      <c r="R394" s="53" t="s">
        <v>1466</v>
      </c>
      <c r="S394" s="43" t="s">
        <v>28</v>
      </c>
      <c r="T394" s="43" t="s">
        <v>40</v>
      </c>
      <c r="U394" s="33" t="s">
        <v>1449</v>
      </c>
      <c r="V394" s="33" t="s">
        <v>40</v>
      </c>
      <c r="W394" s="33" t="s">
        <v>40</v>
      </c>
      <c r="X394" s="44" t="s">
        <v>1467</v>
      </c>
      <c r="Y394" s="43" t="s">
        <v>648</v>
      </c>
      <c r="Z394" s="33" t="s">
        <v>123</v>
      </c>
      <c r="AA394" s="33">
        <v>0</v>
      </c>
      <c r="AB394" s="33">
        <v>0</v>
      </c>
      <c r="AC394" s="32">
        <v>67000</v>
      </c>
      <c r="AD394" s="12">
        <f t="shared" ref="AD394" si="27">AA394/24*AC394</f>
        <v>0</v>
      </c>
      <c r="AE394" s="12">
        <f t="shared" ref="AE394" si="28">AB394/24*AC394</f>
        <v>0</v>
      </c>
      <c r="AF394" s="44"/>
    </row>
    <row r="395" spans="1:32" ht="14.4" x14ac:dyDescent="0.25">
      <c r="A395" s="8">
        <v>394</v>
      </c>
      <c r="B395" s="60">
        <v>46114</v>
      </c>
      <c r="C395" s="35">
        <v>0.30208333333333331</v>
      </c>
      <c r="D395" s="43" t="s">
        <v>616</v>
      </c>
      <c r="E395" s="11" t="s">
        <v>73</v>
      </c>
      <c r="F395" s="43" t="s">
        <v>1401</v>
      </c>
      <c r="G395" s="43" t="s">
        <v>28</v>
      </c>
      <c r="H395" s="26" t="s">
        <v>49</v>
      </c>
      <c r="I395" s="26" t="s">
        <v>50</v>
      </c>
      <c r="J395" s="33" t="s">
        <v>92</v>
      </c>
      <c r="K395" s="33" t="s">
        <v>1126</v>
      </c>
      <c r="L395" s="33"/>
      <c r="M395" s="33" t="s">
        <v>1318</v>
      </c>
      <c r="N395" s="33"/>
      <c r="O395" s="33"/>
      <c r="P395" s="33"/>
      <c r="Q395" s="44" t="s">
        <v>1309</v>
      </c>
      <c r="R395" s="44" t="s">
        <v>1317</v>
      </c>
      <c r="S395" s="43" t="s">
        <v>28</v>
      </c>
      <c r="T395" s="33" t="s">
        <v>40</v>
      </c>
      <c r="U395" s="33" t="s">
        <v>884</v>
      </c>
      <c r="V395" s="33" t="s">
        <v>40</v>
      </c>
      <c r="W395" s="33" t="s">
        <v>40</v>
      </c>
      <c r="X395" s="44" t="s">
        <v>1230</v>
      </c>
      <c r="Y395" s="33" t="s">
        <v>641</v>
      </c>
      <c r="Z395" s="33" t="s">
        <v>72</v>
      </c>
      <c r="AA395" s="33">
        <v>8</v>
      </c>
      <c r="AB395" s="33">
        <v>0</v>
      </c>
      <c r="AC395" s="32">
        <v>67000</v>
      </c>
      <c r="AD395" s="12">
        <f>AA395/24*AC395</f>
        <v>22333.333333333332</v>
      </c>
      <c r="AE395" s="12">
        <f>AB395/24*AC395</f>
        <v>0</v>
      </c>
      <c r="AF395" s="44" t="s">
        <v>1555</v>
      </c>
    </row>
    <row r="396" spans="1:32" ht="14.4" x14ac:dyDescent="0.25">
      <c r="A396" s="8">
        <v>395</v>
      </c>
      <c r="B396" s="60">
        <v>46114</v>
      </c>
      <c r="C396" s="35">
        <v>0.30208333333333331</v>
      </c>
      <c r="D396" s="43" t="s">
        <v>616</v>
      </c>
      <c r="E396" s="11" t="s">
        <v>73</v>
      </c>
      <c r="F396" s="43" t="s">
        <v>1401</v>
      </c>
      <c r="G396" s="43" t="s">
        <v>28</v>
      </c>
      <c r="H396" s="26" t="s">
        <v>49</v>
      </c>
      <c r="I396" s="26" t="s">
        <v>50</v>
      </c>
      <c r="J396" s="33" t="s">
        <v>214</v>
      </c>
      <c r="K396" s="33" t="s">
        <v>193</v>
      </c>
      <c r="L396" s="33"/>
      <c r="M396" s="33" t="s">
        <v>983</v>
      </c>
      <c r="N396" s="33"/>
      <c r="O396" s="33"/>
      <c r="P396" s="33"/>
      <c r="Q396" s="44" t="s">
        <v>1307</v>
      </c>
      <c r="R396" s="44" t="s">
        <v>1308</v>
      </c>
      <c r="S396" s="43" t="s">
        <v>28</v>
      </c>
      <c r="T396" s="33" t="s">
        <v>40</v>
      </c>
      <c r="U396" s="33" t="s">
        <v>884</v>
      </c>
      <c r="V396" s="17" t="s">
        <v>40</v>
      </c>
      <c r="W396" s="17" t="s">
        <v>40</v>
      </c>
      <c r="X396" s="44" t="s">
        <v>1230</v>
      </c>
      <c r="Y396" s="33" t="s">
        <v>641</v>
      </c>
      <c r="Z396" s="33" t="s">
        <v>72</v>
      </c>
      <c r="AA396" s="33">
        <v>0</v>
      </c>
      <c r="AB396" s="33">
        <v>0</v>
      </c>
      <c r="AC396" s="32">
        <v>67000</v>
      </c>
      <c r="AD396" s="12">
        <f t="shared" ref="AD396" si="29">AA396/24*AC396</f>
        <v>0</v>
      </c>
      <c r="AE396" s="12">
        <f t="shared" ref="AE396" si="30">AB396/24*AC396</f>
        <v>0</v>
      </c>
      <c r="AF396" s="44"/>
    </row>
    <row r="397" spans="1:32" ht="14.4" x14ac:dyDescent="0.25">
      <c r="A397" s="8">
        <v>396</v>
      </c>
      <c r="B397" s="60">
        <v>46114</v>
      </c>
      <c r="C397" s="35">
        <v>0.30208333333333331</v>
      </c>
      <c r="D397" s="43" t="s">
        <v>616</v>
      </c>
      <c r="E397" s="11" t="s">
        <v>73</v>
      </c>
      <c r="F397" s="43" t="s">
        <v>1401</v>
      </c>
      <c r="G397" s="43" t="s">
        <v>28</v>
      </c>
      <c r="H397" s="26" t="s">
        <v>49</v>
      </c>
      <c r="I397" s="26" t="s">
        <v>50</v>
      </c>
      <c r="J397" s="33" t="s">
        <v>92</v>
      </c>
      <c r="K397" s="33" t="s">
        <v>75</v>
      </c>
      <c r="L397" s="33"/>
      <c r="M397" s="43" t="s">
        <v>1058</v>
      </c>
      <c r="N397" s="33"/>
      <c r="O397" s="33"/>
      <c r="P397" s="33"/>
      <c r="Q397" s="53" t="s">
        <v>1468</v>
      </c>
      <c r="R397" s="53" t="s">
        <v>1456</v>
      </c>
      <c r="S397" s="43" t="s">
        <v>28</v>
      </c>
      <c r="T397" s="33" t="s">
        <v>40</v>
      </c>
      <c r="U397" s="33" t="s">
        <v>884</v>
      </c>
      <c r="V397" s="33" t="s">
        <v>40</v>
      </c>
      <c r="W397" s="33" t="s">
        <v>40</v>
      </c>
      <c r="X397" s="44" t="s">
        <v>1230</v>
      </c>
      <c r="Y397" s="33" t="s">
        <v>641</v>
      </c>
      <c r="Z397" s="33" t="s">
        <v>72</v>
      </c>
      <c r="AA397" s="33">
        <v>14.46</v>
      </c>
      <c r="AB397" s="33">
        <v>0</v>
      </c>
      <c r="AC397" s="32">
        <v>67000</v>
      </c>
      <c r="AD397" s="12">
        <f t="shared" ref="AD397" si="31">AA397/24*AC397</f>
        <v>40367.5</v>
      </c>
      <c r="AE397" s="12">
        <f t="shared" ref="AE397" si="32">AB397/24*AC397</f>
        <v>0</v>
      </c>
      <c r="AF397" s="53" t="s">
        <v>1505</v>
      </c>
    </row>
    <row r="398" spans="1:32" ht="14.4" x14ac:dyDescent="0.25">
      <c r="A398" s="8">
        <v>397</v>
      </c>
      <c r="B398" s="60">
        <v>46114</v>
      </c>
      <c r="C398" s="35">
        <v>0.5625</v>
      </c>
      <c r="D398" s="43" t="s">
        <v>616</v>
      </c>
      <c r="E398" s="11" t="s">
        <v>73</v>
      </c>
      <c r="F398" s="43" t="s">
        <v>1401</v>
      </c>
      <c r="G398" s="43" t="s">
        <v>28</v>
      </c>
      <c r="H398" s="26" t="s">
        <v>49</v>
      </c>
      <c r="I398" s="26" t="s">
        <v>50</v>
      </c>
      <c r="J398" s="33" t="s">
        <v>92</v>
      </c>
      <c r="K398" s="33" t="s">
        <v>559</v>
      </c>
      <c r="L398" s="33"/>
      <c r="M398" s="43" t="s">
        <v>1054</v>
      </c>
      <c r="N398" s="43"/>
      <c r="O398" s="33"/>
      <c r="P398" s="33"/>
      <c r="Q398" s="53" t="s">
        <v>1469</v>
      </c>
      <c r="R398" s="53" t="s">
        <v>1470</v>
      </c>
      <c r="S398" s="43" t="s">
        <v>28</v>
      </c>
      <c r="T398" s="43" t="s">
        <v>40</v>
      </c>
      <c r="U398" s="33" t="s">
        <v>884</v>
      </c>
      <c r="V398" s="33" t="s">
        <v>40</v>
      </c>
      <c r="W398" s="33" t="s">
        <v>40</v>
      </c>
      <c r="X398" s="44" t="s">
        <v>1230</v>
      </c>
      <c r="Y398" s="33" t="s">
        <v>641</v>
      </c>
      <c r="Z398" s="33" t="s">
        <v>72</v>
      </c>
      <c r="AA398" s="33">
        <v>0</v>
      </c>
      <c r="AB398" s="33">
        <v>0</v>
      </c>
      <c r="AC398" s="32">
        <v>67000</v>
      </c>
      <c r="AD398" s="12">
        <f t="shared" si="22"/>
        <v>0</v>
      </c>
      <c r="AE398" s="12">
        <f t="shared" si="19"/>
        <v>0</v>
      </c>
      <c r="AF398" s="44"/>
    </row>
    <row r="399" spans="1:32" ht="26.4" x14ac:dyDescent="0.25">
      <c r="A399" s="8">
        <v>398</v>
      </c>
      <c r="B399" s="60">
        <v>46114</v>
      </c>
      <c r="C399" s="35">
        <v>0.58333333333333337</v>
      </c>
      <c r="D399" s="33" t="s">
        <v>747</v>
      </c>
      <c r="E399" s="11" t="s">
        <v>73</v>
      </c>
      <c r="F399" s="33" t="s">
        <v>1127</v>
      </c>
      <c r="G399" s="43" t="s">
        <v>28</v>
      </c>
      <c r="H399" s="26" t="s">
        <v>49</v>
      </c>
      <c r="I399" s="26" t="s">
        <v>50</v>
      </c>
      <c r="J399" s="33" t="s">
        <v>92</v>
      </c>
      <c r="K399" s="33" t="s">
        <v>75</v>
      </c>
      <c r="L399" s="33"/>
      <c r="M399" s="43" t="s">
        <v>74</v>
      </c>
      <c r="N399" s="43"/>
      <c r="O399" s="33"/>
      <c r="P399" s="33"/>
      <c r="Q399" s="53" t="s">
        <v>1414</v>
      </c>
      <c r="R399" s="53" t="s">
        <v>1472</v>
      </c>
      <c r="S399" s="43" t="s">
        <v>28</v>
      </c>
      <c r="T399" s="43" t="s">
        <v>40</v>
      </c>
      <c r="U399" s="33" t="s">
        <v>884</v>
      </c>
      <c r="V399" s="33" t="s">
        <v>40</v>
      </c>
      <c r="W399" s="33" t="s">
        <v>40</v>
      </c>
      <c r="X399" s="44" t="s">
        <v>1230</v>
      </c>
      <c r="Y399" s="33" t="s">
        <v>641</v>
      </c>
      <c r="Z399" s="33" t="s">
        <v>72</v>
      </c>
      <c r="AA399" s="33">
        <v>0</v>
      </c>
      <c r="AB399" s="33">
        <v>0</v>
      </c>
      <c r="AC399" s="32">
        <v>67000</v>
      </c>
      <c r="AD399" s="12">
        <f t="shared" si="22"/>
        <v>0</v>
      </c>
      <c r="AE399" s="12">
        <f t="shared" si="19"/>
        <v>0</v>
      </c>
      <c r="AF399" s="44"/>
    </row>
    <row r="400" spans="1:32" ht="14.4" x14ac:dyDescent="0.25">
      <c r="A400" s="8">
        <v>399</v>
      </c>
      <c r="B400" s="60">
        <v>46114</v>
      </c>
      <c r="C400" s="35">
        <v>0.58333333333333337</v>
      </c>
      <c r="D400" s="33" t="s">
        <v>747</v>
      </c>
      <c r="E400" s="11" t="s">
        <v>73</v>
      </c>
      <c r="F400" s="33" t="s">
        <v>1127</v>
      </c>
      <c r="G400" s="43" t="s">
        <v>28</v>
      </c>
      <c r="H400" s="26" t="s">
        <v>49</v>
      </c>
      <c r="I400" s="26" t="s">
        <v>50</v>
      </c>
      <c r="J400" s="33" t="s">
        <v>92</v>
      </c>
      <c r="K400" s="33" t="s">
        <v>559</v>
      </c>
      <c r="L400" s="33"/>
      <c r="M400" s="43" t="s">
        <v>1471</v>
      </c>
      <c r="N400" s="43"/>
      <c r="O400" s="33"/>
      <c r="P400" s="33"/>
      <c r="Q400" s="53" t="s">
        <v>1410</v>
      </c>
      <c r="R400" s="53" t="s">
        <v>1411</v>
      </c>
      <c r="S400" s="43" t="s">
        <v>28</v>
      </c>
      <c r="T400" s="43" t="s">
        <v>40</v>
      </c>
      <c r="U400" s="33" t="s">
        <v>884</v>
      </c>
      <c r="V400" s="33" t="s">
        <v>40</v>
      </c>
      <c r="W400" s="33" t="s">
        <v>80</v>
      </c>
      <c r="X400" s="44" t="s">
        <v>1230</v>
      </c>
      <c r="Y400" s="33" t="s">
        <v>641</v>
      </c>
      <c r="Z400" s="33" t="s">
        <v>72</v>
      </c>
      <c r="AA400" s="33">
        <v>0</v>
      </c>
      <c r="AB400" s="33">
        <v>0</v>
      </c>
      <c r="AC400" s="32">
        <v>67000</v>
      </c>
      <c r="AD400" s="12">
        <f t="shared" si="22"/>
        <v>0</v>
      </c>
      <c r="AE400" s="12">
        <f t="shared" si="19"/>
        <v>0</v>
      </c>
      <c r="AF400" s="44"/>
    </row>
    <row r="401" spans="1:32" ht="26.4" x14ac:dyDescent="0.25">
      <c r="A401" s="8">
        <v>400</v>
      </c>
      <c r="B401" s="60">
        <v>46114</v>
      </c>
      <c r="C401" s="35">
        <v>0.60416666666666663</v>
      </c>
      <c r="D401" s="43" t="s">
        <v>585</v>
      </c>
      <c r="E401" s="11" t="s">
        <v>73</v>
      </c>
      <c r="F401" s="33" t="s">
        <v>1129</v>
      </c>
      <c r="G401" s="43" t="s">
        <v>163</v>
      </c>
      <c r="H401" s="26" t="s">
        <v>49</v>
      </c>
      <c r="I401" s="26" t="s">
        <v>50</v>
      </c>
      <c r="J401" s="33" t="s">
        <v>92</v>
      </c>
      <c r="K401" s="33" t="s">
        <v>75</v>
      </c>
      <c r="L401" s="33"/>
      <c r="M401" s="43" t="s">
        <v>74</v>
      </c>
      <c r="N401" s="43"/>
      <c r="O401" s="33"/>
      <c r="P401" s="33"/>
      <c r="Q401" s="53" t="s">
        <v>1414</v>
      </c>
      <c r="R401" s="53" t="s">
        <v>1472</v>
      </c>
      <c r="S401" s="43" t="s">
        <v>163</v>
      </c>
      <c r="T401" s="43" t="s">
        <v>40</v>
      </c>
      <c r="U401" s="33" t="s">
        <v>884</v>
      </c>
      <c r="V401" s="33" t="s">
        <v>40</v>
      </c>
      <c r="W401" s="33" t="s">
        <v>40</v>
      </c>
      <c r="X401" s="44" t="s">
        <v>1230</v>
      </c>
      <c r="Y401" s="33" t="s">
        <v>801</v>
      </c>
      <c r="Z401" s="33" t="s">
        <v>72</v>
      </c>
      <c r="AA401" s="33">
        <v>0</v>
      </c>
      <c r="AB401" s="33">
        <v>0</v>
      </c>
      <c r="AC401" s="32">
        <v>67000</v>
      </c>
      <c r="AD401" s="12">
        <f t="shared" si="22"/>
        <v>0</v>
      </c>
      <c r="AE401" s="12">
        <f t="shared" si="19"/>
        <v>0</v>
      </c>
      <c r="AF401" s="44"/>
    </row>
    <row r="402" spans="1:32" ht="14.4" x14ac:dyDescent="0.25">
      <c r="A402" s="8">
        <v>401</v>
      </c>
      <c r="B402" s="60">
        <v>46114</v>
      </c>
      <c r="C402" s="35">
        <v>0.60416666666666663</v>
      </c>
      <c r="D402" s="43" t="s">
        <v>585</v>
      </c>
      <c r="E402" s="11" t="s">
        <v>73</v>
      </c>
      <c r="F402" s="33" t="s">
        <v>1129</v>
      </c>
      <c r="G402" s="43" t="s">
        <v>163</v>
      </c>
      <c r="H402" s="26" t="s">
        <v>49</v>
      </c>
      <c r="I402" s="26" t="s">
        <v>50</v>
      </c>
      <c r="J402" s="33" t="s">
        <v>92</v>
      </c>
      <c r="K402" s="33" t="s">
        <v>559</v>
      </c>
      <c r="L402" s="33"/>
      <c r="M402" s="43" t="s">
        <v>1471</v>
      </c>
      <c r="N402" s="43"/>
      <c r="O402" s="33"/>
      <c r="P402" s="33"/>
      <c r="Q402" s="53" t="s">
        <v>1410</v>
      </c>
      <c r="R402" s="53" t="s">
        <v>1473</v>
      </c>
      <c r="S402" s="43" t="s">
        <v>163</v>
      </c>
      <c r="T402" s="43" t="s">
        <v>40</v>
      </c>
      <c r="U402" s="33" t="s">
        <v>884</v>
      </c>
      <c r="V402" s="33" t="s">
        <v>40</v>
      </c>
      <c r="W402" s="33" t="s">
        <v>40</v>
      </c>
      <c r="X402" s="44" t="s">
        <v>1230</v>
      </c>
      <c r="Y402" s="33" t="s">
        <v>801</v>
      </c>
      <c r="Z402" s="33" t="s">
        <v>72</v>
      </c>
      <c r="AA402" s="33">
        <v>0</v>
      </c>
      <c r="AB402" s="33">
        <v>0</v>
      </c>
      <c r="AC402" s="32">
        <v>67000</v>
      </c>
      <c r="AD402" s="12">
        <f t="shared" si="22"/>
        <v>0</v>
      </c>
      <c r="AE402" s="12">
        <f t="shared" si="19"/>
        <v>0</v>
      </c>
      <c r="AF402" s="44" t="s">
        <v>1575</v>
      </c>
    </row>
    <row r="403" spans="1:32" ht="26.4" x14ac:dyDescent="0.25">
      <c r="A403" s="8">
        <v>402</v>
      </c>
      <c r="B403" s="60">
        <v>46114</v>
      </c>
      <c r="C403" s="35">
        <v>0.82638888888888884</v>
      </c>
      <c r="D403" s="43" t="s">
        <v>601</v>
      </c>
      <c r="E403" s="11" t="s">
        <v>73</v>
      </c>
      <c r="F403" s="33" t="s">
        <v>1474</v>
      </c>
      <c r="G403" s="43" t="s">
        <v>48</v>
      </c>
      <c r="H403" s="26" t="s">
        <v>49</v>
      </c>
      <c r="I403" s="26" t="s">
        <v>50</v>
      </c>
      <c r="J403" s="33" t="s">
        <v>92</v>
      </c>
      <c r="K403" s="33" t="s">
        <v>75</v>
      </c>
      <c r="L403" s="33"/>
      <c r="M403" s="43" t="s">
        <v>1058</v>
      </c>
      <c r="N403" s="43"/>
      <c r="O403" s="33"/>
      <c r="P403" s="33"/>
      <c r="Q403" s="53" t="s">
        <v>1475</v>
      </c>
      <c r="R403" s="53" t="s">
        <v>1476</v>
      </c>
      <c r="S403" s="43" t="s">
        <v>48</v>
      </c>
      <c r="T403" s="43" t="s">
        <v>40</v>
      </c>
      <c r="U403" s="33" t="s">
        <v>1477</v>
      </c>
      <c r="V403" s="33" t="s">
        <v>40</v>
      </c>
      <c r="W403" s="33" t="s">
        <v>40</v>
      </c>
      <c r="X403" s="44"/>
      <c r="Y403" s="33" t="s">
        <v>801</v>
      </c>
      <c r="Z403" s="33" t="s">
        <v>123</v>
      </c>
      <c r="AA403" s="33">
        <v>0</v>
      </c>
      <c r="AB403" s="33">
        <v>0</v>
      </c>
      <c r="AC403" s="32">
        <v>67000</v>
      </c>
      <c r="AD403" s="12">
        <f t="shared" ref="AD403:AD404" si="33">AA403/24*AC403</f>
        <v>0</v>
      </c>
      <c r="AE403" s="12">
        <f t="shared" ref="AE403:AE404" si="34">AB403/24*AC403</f>
        <v>0</v>
      </c>
      <c r="AF403" s="44"/>
    </row>
    <row r="404" spans="1:32" ht="26.4" x14ac:dyDescent="0.25">
      <c r="A404" s="8">
        <v>403</v>
      </c>
      <c r="B404" s="60">
        <v>46115</v>
      </c>
      <c r="C404" s="35">
        <v>0.125</v>
      </c>
      <c r="D404" s="33" t="s">
        <v>747</v>
      </c>
      <c r="E404" s="11" t="s">
        <v>73</v>
      </c>
      <c r="F404" s="33" t="s">
        <v>1127</v>
      </c>
      <c r="G404" s="43" t="s">
        <v>28</v>
      </c>
      <c r="H404" s="26" t="s">
        <v>49</v>
      </c>
      <c r="I404" s="26" t="s">
        <v>50</v>
      </c>
      <c r="J404" s="33" t="s">
        <v>92</v>
      </c>
      <c r="K404" s="33" t="s">
        <v>75</v>
      </c>
      <c r="L404" s="33"/>
      <c r="M404" s="43" t="s">
        <v>1058</v>
      </c>
      <c r="N404" s="43"/>
      <c r="O404" s="33"/>
      <c r="P404" s="33"/>
      <c r="Q404" s="53" t="s">
        <v>1479</v>
      </c>
      <c r="R404" s="53" t="s">
        <v>1478</v>
      </c>
      <c r="S404" s="43" t="s">
        <v>28</v>
      </c>
      <c r="T404" s="43" t="s">
        <v>40</v>
      </c>
      <c r="U404" s="33" t="s">
        <v>1480</v>
      </c>
      <c r="V404" s="33" t="s">
        <v>40</v>
      </c>
      <c r="W404" s="33" t="s">
        <v>40</v>
      </c>
      <c r="X404" s="44" t="s">
        <v>1481</v>
      </c>
      <c r="Y404" s="33" t="s">
        <v>632</v>
      </c>
      <c r="Z404" s="33" t="s">
        <v>123</v>
      </c>
      <c r="AA404" s="33">
        <v>0</v>
      </c>
      <c r="AB404" s="33">
        <v>0</v>
      </c>
      <c r="AC404" s="32">
        <v>67000</v>
      </c>
      <c r="AD404" s="12">
        <f t="shared" si="33"/>
        <v>0</v>
      </c>
      <c r="AE404" s="12">
        <f t="shared" si="34"/>
        <v>0</v>
      </c>
      <c r="AF404" s="44" t="s">
        <v>1528</v>
      </c>
    </row>
    <row r="405" spans="1:32" ht="16.95" customHeight="1" x14ac:dyDescent="0.25">
      <c r="A405" s="8">
        <v>404</v>
      </c>
      <c r="B405" s="60">
        <v>46115</v>
      </c>
      <c r="C405" s="35">
        <v>0.27083333333333331</v>
      </c>
      <c r="D405" s="43" t="s">
        <v>616</v>
      </c>
      <c r="E405" s="11" t="s">
        <v>73</v>
      </c>
      <c r="F405" s="43" t="s">
        <v>1401</v>
      </c>
      <c r="G405" s="43" t="s">
        <v>28</v>
      </c>
      <c r="H405" s="26" t="s">
        <v>49</v>
      </c>
      <c r="I405" s="26" t="s">
        <v>50</v>
      </c>
      <c r="J405" s="33" t="s">
        <v>110</v>
      </c>
      <c r="K405" s="33" t="s">
        <v>32</v>
      </c>
      <c r="L405" s="33"/>
      <c r="M405" s="43" t="s">
        <v>1482</v>
      </c>
      <c r="N405" s="43" t="s">
        <v>912</v>
      </c>
      <c r="O405" s="33">
        <v>210</v>
      </c>
      <c r="P405" s="33">
        <v>150</v>
      </c>
      <c r="Q405" s="53" t="s">
        <v>1510</v>
      </c>
      <c r="R405" s="53" t="s">
        <v>1483</v>
      </c>
      <c r="S405" s="43" t="s">
        <v>28</v>
      </c>
      <c r="T405" s="43" t="s">
        <v>40</v>
      </c>
      <c r="U405" s="43" t="s">
        <v>1486</v>
      </c>
      <c r="V405" s="43" t="s">
        <v>40</v>
      </c>
      <c r="W405" s="43" t="s">
        <v>40</v>
      </c>
      <c r="X405" s="53" t="s">
        <v>1519</v>
      </c>
      <c r="Y405" s="33" t="s">
        <v>641</v>
      </c>
      <c r="Z405" s="33" t="s">
        <v>72</v>
      </c>
      <c r="AA405" s="33">
        <v>0</v>
      </c>
      <c r="AB405" s="33">
        <v>0</v>
      </c>
      <c r="AC405" s="32">
        <v>67000</v>
      </c>
      <c r="AD405" s="12">
        <f t="shared" si="22"/>
        <v>0</v>
      </c>
      <c r="AE405" s="12">
        <f t="shared" si="19"/>
        <v>0</v>
      </c>
      <c r="AF405" s="44"/>
    </row>
    <row r="406" spans="1:32" ht="14.4" x14ac:dyDescent="0.25">
      <c r="A406" s="8">
        <v>405</v>
      </c>
      <c r="B406" s="60">
        <v>46115</v>
      </c>
      <c r="C406" s="35">
        <v>0.375</v>
      </c>
      <c r="D406" s="43" t="s">
        <v>585</v>
      </c>
      <c r="E406" s="11" t="s">
        <v>73</v>
      </c>
      <c r="F406" s="33" t="s">
        <v>1129</v>
      </c>
      <c r="G406" s="43" t="s">
        <v>163</v>
      </c>
      <c r="H406" s="26" t="s">
        <v>49</v>
      </c>
      <c r="I406" s="26" t="s">
        <v>50</v>
      </c>
      <c r="J406" s="33" t="s">
        <v>92</v>
      </c>
      <c r="K406" s="33" t="s">
        <v>75</v>
      </c>
      <c r="L406" s="33"/>
      <c r="M406" s="43" t="s">
        <v>74</v>
      </c>
      <c r="N406" s="43"/>
      <c r="O406" s="33"/>
      <c r="P406" s="33"/>
      <c r="Q406" s="53" t="s">
        <v>1484</v>
      </c>
      <c r="R406" s="53" t="s">
        <v>1485</v>
      </c>
      <c r="S406" s="43" t="s">
        <v>163</v>
      </c>
      <c r="T406" s="43" t="s">
        <v>40</v>
      </c>
      <c r="U406" s="33" t="s">
        <v>884</v>
      </c>
      <c r="V406" s="33" t="s">
        <v>40</v>
      </c>
      <c r="W406" s="33" t="s">
        <v>40</v>
      </c>
      <c r="X406" s="44" t="s">
        <v>1230</v>
      </c>
      <c r="Y406" s="33" t="s">
        <v>641</v>
      </c>
      <c r="Z406" s="33" t="s">
        <v>72</v>
      </c>
      <c r="AA406" s="33">
        <v>4.93</v>
      </c>
      <c r="AB406" s="33">
        <v>0</v>
      </c>
      <c r="AC406" s="32">
        <v>67000</v>
      </c>
      <c r="AD406" s="12">
        <f t="shared" ref="AD406:AD407" si="35">AA406/24*AC406</f>
        <v>13762.916666666666</v>
      </c>
      <c r="AE406" s="12">
        <f t="shared" ref="AE406:AE407" si="36">AB406/24*AC406</f>
        <v>0</v>
      </c>
      <c r="AF406" s="44" t="s">
        <v>1536</v>
      </c>
    </row>
    <row r="407" spans="1:32" ht="26.4" x14ac:dyDescent="0.25">
      <c r="A407" s="8">
        <v>406</v>
      </c>
      <c r="B407" s="60">
        <v>46115</v>
      </c>
      <c r="C407" s="35">
        <v>0.375</v>
      </c>
      <c r="D407" s="43" t="s">
        <v>585</v>
      </c>
      <c r="E407" s="11" t="s">
        <v>73</v>
      </c>
      <c r="F407" s="33" t="s">
        <v>1129</v>
      </c>
      <c r="G407" s="43" t="s">
        <v>163</v>
      </c>
      <c r="H407" s="26" t="s">
        <v>49</v>
      </c>
      <c r="I407" s="26" t="s">
        <v>50</v>
      </c>
      <c r="J407" s="33" t="s">
        <v>92</v>
      </c>
      <c r="K407" s="33" t="s">
        <v>559</v>
      </c>
      <c r="L407" s="33"/>
      <c r="M407" s="43" t="s">
        <v>1471</v>
      </c>
      <c r="N407" s="43"/>
      <c r="O407" s="33"/>
      <c r="P407" s="33"/>
      <c r="Q407" s="53" t="s">
        <v>1410</v>
      </c>
      <c r="R407" s="53" t="s">
        <v>1511</v>
      </c>
      <c r="S407" s="43" t="s">
        <v>163</v>
      </c>
      <c r="T407" s="43" t="s">
        <v>40</v>
      </c>
      <c r="U407" s="33" t="s">
        <v>884</v>
      </c>
      <c r="V407" s="33" t="s">
        <v>40</v>
      </c>
      <c r="W407" s="33" t="s">
        <v>40</v>
      </c>
      <c r="X407" s="44" t="s">
        <v>1230</v>
      </c>
      <c r="Y407" s="33" t="s">
        <v>641</v>
      </c>
      <c r="Z407" s="33" t="s">
        <v>72</v>
      </c>
      <c r="AA407" s="33">
        <v>0</v>
      </c>
      <c r="AB407" s="33">
        <v>0</v>
      </c>
      <c r="AC407" s="32">
        <v>67000</v>
      </c>
      <c r="AD407" s="12">
        <f t="shared" si="35"/>
        <v>0</v>
      </c>
      <c r="AE407" s="12">
        <f t="shared" si="36"/>
        <v>0</v>
      </c>
      <c r="AF407" s="44" t="s">
        <v>1575</v>
      </c>
    </row>
    <row r="408" spans="1:32" ht="26.4" x14ac:dyDescent="0.25">
      <c r="A408" s="8">
        <v>407</v>
      </c>
      <c r="B408" s="60">
        <v>46115</v>
      </c>
      <c r="C408" s="35">
        <v>0.63541666666666663</v>
      </c>
      <c r="D408" s="43" t="s">
        <v>601</v>
      </c>
      <c r="E408" s="11" t="s">
        <v>73</v>
      </c>
      <c r="F408" s="33" t="s">
        <v>1474</v>
      </c>
      <c r="G408" s="43" t="s">
        <v>48</v>
      </c>
      <c r="H408" s="26" t="s">
        <v>49</v>
      </c>
      <c r="I408" s="26" t="s">
        <v>50</v>
      </c>
      <c r="J408" s="33" t="s">
        <v>92</v>
      </c>
      <c r="K408" s="33" t="s">
        <v>75</v>
      </c>
      <c r="L408" s="33"/>
      <c r="M408" s="43" t="s">
        <v>74</v>
      </c>
      <c r="N408" s="43"/>
      <c r="O408" s="33"/>
      <c r="P408" s="33"/>
      <c r="Q408" s="53" t="s">
        <v>1506</v>
      </c>
      <c r="R408" s="53" t="s">
        <v>1507</v>
      </c>
      <c r="S408" s="43" t="s">
        <v>48</v>
      </c>
      <c r="T408" s="43" t="s">
        <v>40</v>
      </c>
      <c r="U408" s="33" t="s">
        <v>884</v>
      </c>
      <c r="V408" s="33" t="s">
        <v>40</v>
      </c>
      <c r="W408" s="33" t="s">
        <v>40</v>
      </c>
      <c r="X408" s="44" t="s">
        <v>1230</v>
      </c>
      <c r="Y408" s="33" t="s">
        <v>801</v>
      </c>
      <c r="Z408" s="33" t="s">
        <v>72</v>
      </c>
      <c r="AA408" s="33">
        <v>11.52</v>
      </c>
      <c r="AB408" s="33">
        <v>0</v>
      </c>
      <c r="AC408" s="32">
        <v>67000</v>
      </c>
      <c r="AD408" s="12">
        <f>AA408/24*AC408</f>
        <v>32160</v>
      </c>
      <c r="AE408" s="12">
        <f t="shared" ref="AE408:AE409" si="37">AB408/24*AC408</f>
        <v>0</v>
      </c>
      <c r="AF408" s="44" t="s">
        <v>1535</v>
      </c>
    </row>
    <row r="409" spans="1:32" ht="14.4" x14ac:dyDescent="0.25">
      <c r="A409" s="8">
        <v>408</v>
      </c>
      <c r="B409" s="60">
        <v>46115</v>
      </c>
      <c r="C409" s="35">
        <v>0.63541666666666663</v>
      </c>
      <c r="D409" s="43" t="s">
        <v>601</v>
      </c>
      <c r="E409" s="11" t="s">
        <v>73</v>
      </c>
      <c r="F409" s="33" t="s">
        <v>1474</v>
      </c>
      <c r="G409" s="43" t="s">
        <v>48</v>
      </c>
      <c r="H409" s="26" t="s">
        <v>49</v>
      </c>
      <c r="I409" s="26" t="s">
        <v>50</v>
      </c>
      <c r="J409" s="33" t="s">
        <v>92</v>
      </c>
      <c r="K409" s="33" t="s">
        <v>559</v>
      </c>
      <c r="L409" s="33"/>
      <c r="M409" s="43" t="s">
        <v>1471</v>
      </c>
      <c r="N409" s="43"/>
      <c r="O409" s="33"/>
      <c r="P409" s="33"/>
      <c r="Q409" s="53" t="s">
        <v>1417</v>
      </c>
      <c r="R409" s="53" t="s">
        <v>1418</v>
      </c>
      <c r="S409" s="43" t="s">
        <v>48</v>
      </c>
      <c r="T409" s="43" t="s">
        <v>40</v>
      </c>
      <c r="U409" s="33" t="s">
        <v>884</v>
      </c>
      <c r="V409" s="33" t="s">
        <v>40</v>
      </c>
      <c r="W409" s="33" t="s">
        <v>80</v>
      </c>
      <c r="X409" s="44" t="s">
        <v>1230</v>
      </c>
      <c r="Y409" s="33" t="s">
        <v>801</v>
      </c>
      <c r="Z409" s="33" t="s">
        <v>72</v>
      </c>
      <c r="AA409" s="33">
        <v>0</v>
      </c>
      <c r="AB409" s="33">
        <v>0</v>
      </c>
      <c r="AC409" s="32">
        <v>67000</v>
      </c>
      <c r="AD409" s="12">
        <f t="shared" ref="AD409" si="38">AA409/24*AC409</f>
        <v>0</v>
      </c>
      <c r="AE409" s="12">
        <f t="shared" si="37"/>
        <v>0</v>
      </c>
      <c r="AF409" s="44"/>
    </row>
    <row r="410" spans="1:32" ht="26.4" x14ac:dyDescent="0.25">
      <c r="A410" s="8">
        <v>409</v>
      </c>
      <c r="B410" s="60">
        <v>46115</v>
      </c>
      <c r="C410" s="35">
        <v>0.69791666666666663</v>
      </c>
      <c r="D410" s="33" t="s">
        <v>747</v>
      </c>
      <c r="E410" s="11" t="s">
        <v>73</v>
      </c>
      <c r="F410" s="33" t="s">
        <v>1127</v>
      </c>
      <c r="G410" s="43" t="s">
        <v>28</v>
      </c>
      <c r="H410" s="26" t="s">
        <v>49</v>
      </c>
      <c r="I410" s="26" t="s">
        <v>50</v>
      </c>
      <c r="J410" s="33" t="s">
        <v>92</v>
      </c>
      <c r="K410" s="33" t="s">
        <v>75</v>
      </c>
      <c r="L410" s="33"/>
      <c r="M410" s="43" t="s">
        <v>1058</v>
      </c>
      <c r="N410" s="43" t="s">
        <v>75</v>
      </c>
      <c r="O410" s="33">
        <v>35</v>
      </c>
      <c r="P410" s="33">
        <v>10</v>
      </c>
      <c r="Q410" s="53" t="s">
        <v>1508</v>
      </c>
      <c r="R410" s="53" t="s">
        <v>1509</v>
      </c>
      <c r="S410" s="43" t="s">
        <v>28</v>
      </c>
      <c r="T410" s="43" t="s">
        <v>40</v>
      </c>
      <c r="U410" s="43" t="s">
        <v>1486</v>
      </c>
      <c r="V410" s="43" t="s">
        <v>40</v>
      </c>
      <c r="W410" s="43" t="s">
        <v>40</v>
      </c>
      <c r="X410" s="44" t="s">
        <v>1230</v>
      </c>
      <c r="Y410" s="33" t="s">
        <v>801</v>
      </c>
      <c r="Z410" s="33" t="s">
        <v>72</v>
      </c>
      <c r="AA410" s="33">
        <v>0</v>
      </c>
      <c r="AB410" s="33">
        <v>0</v>
      </c>
      <c r="AC410" s="32">
        <v>67000</v>
      </c>
      <c r="AD410" s="12">
        <f t="shared" si="22"/>
        <v>0</v>
      </c>
      <c r="AE410" s="12">
        <f t="shared" si="19"/>
        <v>0</v>
      </c>
      <c r="AF410" s="44"/>
    </row>
    <row r="411" spans="1:32" ht="26.4" x14ac:dyDescent="0.25">
      <c r="A411" s="8">
        <v>410</v>
      </c>
      <c r="B411" s="60">
        <v>46115</v>
      </c>
      <c r="C411" s="35">
        <v>0.42708333333333331</v>
      </c>
      <c r="D411" s="43" t="s">
        <v>616</v>
      </c>
      <c r="E411" s="11" t="s">
        <v>73</v>
      </c>
      <c r="F411" s="43" t="s">
        <v>1401</v>
      </c>
      <c r="G411" s="43" t="s">
        <v>28</v>
      </c>
      <c r="H411" s="26" t="s">
        <v>49</v>
      </c>
      <c r="I411" s="26" t="s">
        <v>50</v>
      </c>
      <c r="J411" s="33" t="s">
        <v>92</v>
      </c>
      <c r="K411" s="33" t="s">
        <v>559</v>
      </c>
      <c r="L411" s="33"/>
      <c r="M411" s="43" t="s">
        <v>1007</v>
      </c>
      <c r="N411" s="43"/>
      <c r="O411" s="33"/>
      <c r="P411" s="33"/>
      <c r="Q411" s="53" t="s">
        <v>1512</v>
      </c>
      <c r="R411" s="53" t="s">
        <v>1513</v>
      </c>
      <c r="S411" s="43" t="s">
        <v>28</v>
      </c>
      <c r="T411" s="43" t="s">
        <v>40</v>
      </c>
      <c r="U411" s="33" t="s">
        <v>1477</v>
      </c>
      <c r="V411" s="33" t="s">
        <v>40</v>
      </c>
      <c r="W411" s="33" t="s">
        <v>80</v>
      </c>
      <c r="X411" s="44" t="s">
        <v>1386</v>
      </c>
      <c r="Y411" s="33" t="s">
        <v>801</v>
      </c>
      <c r="Z411" s="33" t="s">
        <v>123</v>
      </c>
      <c r="AA411" s="33">
        <v>0</v>
      </c>
      <c r="AB411" s="33">
        <v>1.8</v>
      </c>
      <c r="AC411" s="32">
        <v>67000</v>
      </c>
      <c r="AD411" s="12">
        <f t="shared" ref="AD411:AD414" si="39">AA411/24*AC411</f>
        <v>0</v>
      </c>
      <c r="AE411" s="12">
        <f t="shared" ref="AE411:AE414" si="40">AB411/24*AC411</f>
        <v>5025</v>
      </c>
      <c r="AF411" s="44" t="s">
        <v>1572</v>
      </c>
    </row>
    <row r="412" spans="1:32" ht="26.4" x14ac:dyDescent="0.25">
      <c r="A412" s="8">
        <v>411</v>
      </c>
      <c r="B412" s="60">
        <v>46116</v>
      </c>
      <c r="C412" s="35">
        <v>0.30208333333333331</v>
      </c>
      <c r="D412" s="33" t="s">
        <v>747</v>
      </c>
      <c r="E412" s="11" t="s">
        <v>73</v>
      </c>
      <c r="F412" s="33" t="s">
        <v>1127</v>
      </c>
      <c r="G412" s="43" t="s">
        <v>28</v>
      </c>
      <c r="H412" s="26" t="s">
        <v>49</v>
      </c>
      <c r="I412" s="26" t="s">
        <v>50</v>
      </c>
      <c r="J412" s="33" t="s">
        <v>92</v>
      </c>
      <c r="K412" s="33" t="s">
        <v>75</v>
      </c>
      <c r="L412" s="33"/>
      <c r="M412" s="43" t="s">
        <v>1058</v>
      </c>
      <c r="N412" s="43" t="s">
        <v>75</v>
      </c>
      <c r="O412" s="33">
        <v>35</v>
      </c>
      <c r="P412" s="33">
        <v>10</v>
      </c>
      <c r="Q412" s="53" t="s">
        <v>1514</v>
      </c>
      <c r="R412" s="53"/>
      <c r="S412" s="43" t="s">
        <v>28</v>
      </c>
      <c r="T412" s="43" t="s">
        <v>40</v>
      </c>
      <c r="U412" s="43" t="s">
        <v>1515</v>
      </c>
      <c r="V412" s="43" t="s">
        <v>40</v>
      </c>
      <c r="W412" s="43" t="s">
        <v>40</v>
      </c>
      <c r="X412" s="44" t="s">
        <v>1230</v>
      </c>
      <c r="Y412" s="33" t="s">
        <v>641</v>
      </c>
      <c r="Z412" s="33" t="s">
        <v>72</v>
      </c>
      <c r="AA412" s="33">
        <v>34.25</v>
      </c>
      <c r="AB412" s="33">
        <v>0</v>
      </c>
      <c r="AC412" s="32">
        <v>67000</v>
      </c>
      <c r="AD412" s="12">
        <f t="shared" si="39"/>
        <v>95614.583333333328</v>
      </c>
      <c r="AE412" s="12">
        <f t="shared" si="40"/>
        <v>0</v>
      </c>
      <c r="AF412" s="44" t="s">
        <v>1573</v>
      </c>
    </row>
    <row r="413" spans="1:32" ht="14.4" x14ac:dyDescent="0.25">
      <c r="A413" s="8">
        <v>412</v>
      </c>
      <c r="B413" s="60">
        <v>46116</v>
      </c>
      <c r="C413" s="35">
        <v>0.34375</v>
      </c>
      <c r="D413" s="33" t="s">
        <v>747</v>
      </c>
      <c r="E413" s="11" t="s">
        <v>73</v>
      </c>
      <c r="F413" s="33" t="s">
        <v>1127</v>
      </c>
      <c r="G413" s="43" t="s">
        <v>28</v>
      </c>
      <c r="H413" s="26" t="s">
        <v>49</v>
      </c>
      <c r="I413" s="26" t="s">
        <v>50</v>
      </c>
      <c r="J413" s="33" t="s">
        <v>92</v>
      </c>
      <c r="K413" s="33" t="s">
        <v>559</v>
      </c>
      <c r="L413" s="33"/>
      <c r="M413" s="43" t="s">
        <v>1471</v>
      </c>
      <c r="N413" s="43" t="s">
        <v>1381</v>
      </c>
      <c r="O413" s="33">
        <v>20</v>
      </c>
      <c r="P413" s="33">
        <v>21</v>
      </c>
      <c r="Q413" s="53" t="s">
        <v>1410</v>
      </c>
      <c r="R413" s="53" t="s">
        <v>1473</v>
      </c>
      <c r="S413" s="43" t="s">
        <v>28</v>
      </c>
      <c r="T413" s="43" t="s">
        <v>40</v>
      </c>
      <c r="U413" s="33" t="s">
        <v>884</v>
      </c>
      <c r="V413" s="33" t="s">
        <v>40</v>
      </c>
      <c r="W413" s="33" t="s">
        <v>80</v>
      </c>
      <c r="X413" s="44" t="s">
        <v>1386</v>
      </c>
      <c r="Y413" s="33" t="s">
        <v>641</v>
      </c>
      <c r="Z413" s="33" t="s">
        <v>72</v>
      </c>
      <c r="AA413" s="33">
        <v>0</v>
      </c>
      <c r="AB413" s="33">
        <v>1</v>
      </c>
      <c r="AC413" s="32">
        <v>67000</v>
      </c>
      <c r="AD413" s="12">
        <f t="shared" si="39"/>
        <v>0</v>
      </c>
      <c r="AE413" s="12">
        <f t="shared" si="40"/>
        <v>2791.6666666666665</v>
      </c>
      <c r="AF413" s="44" t="s">
        <v>1574</v>
      </c>
    </row>
    <row r="414" spans="1:32" ht="26.4" x14ac:dyDescent="0.25">
      <c r="A414" s="8">
        <v>413</v>
      </c>
      <c r="B414" s="60">
        <v>46116</v>
      </c>
      <c r="C414" s="35">
        <v>0.34375</v>
      </c>
      <c r="D414" s="43" t="s">
        <v>747</v>
      </c>
      <c r="E414" s="11" t="s">
        <v>73</v>
      </c>
      <c r="F414" s="43" t="s">
        <v>1127</v>
      </c>
      <c r="G414" s="43" t="s">
        <v>28</v>
      </c>
      <c r="H414" s="26" t="s">
        <v>49</v>
      </c>
      <c r="I414" s="26" t="s">
        <v>50</v>
      </c>
      <c r="J414" s="33" t="s">
        <v>214</v>
      </c>
      <c r="K414" s="33" t="s">
        <v>1631</v>
      </c>
      <c r="L414" s="33"/>
      <c r="M414" s="33" t="s">
        <v>1440</v>
      </c>
      <c r="N414" s="33"/>
      <c r="O414" s="33"/>
      <c r="P414" s="33"/>
      <c r="Q414" s="44" t="s">
        <v>1419</v>
      </c>
      <c r="R414" s="44" t="s">
        <v>909</v>
      </c>
      <c r="S414" s="33" t="s">
        <v>28</v>
      </c>
      <c r="T414" s="33" t="s">
        <v>40</v>
      </c>
      <c r="U414" s="33" t="s">
        <v>1438</v>
      </c>
      <c r="V414" s="17" t="s">
        <v>40</v>
      </c>
      <c r="W414" s="17" t="s">
        <v>40</v>
      </c>
      <c r="X414" s="44" t="s">
        <v>1439</v>
      </c>
      <c r="Y414" s="33" t="s">
        <v>641</v>
      </c>
      <c r="Z414" s="33" t="s">
        <v>72</v>
      </c>
      <c r="AA414" s="33">
        <v>0</v>
      </c>
      <c r="AB414" s="33">
        <v>0</v>
      </c>
      <c r="AC414" s="32">
        <v>67000</v>
      </c>
      <c r="AD414" s="12">
        <f t="shared" si="39"/>
        <v>0</v>
      </c>
      <c r="AE414" s="12">
        <f t="shared" si="40"/>
        <v>0</v>
      </c>
      <c r="AF414" s="44"/>
    </row>
    <row r="415" spans="1:32" ht="14.4" x14ac:dyDescent="0.25">
      <c r="A415" s="8">
        <v>414</v>
      </c>
      <c r="B415" s="60">
        <v>46116</v>
      </c>
      <c r="C415" s="35">
        <v>0.4375</v>
      </c>
      <c r="D415" s="43" t="s">
        <v>601</v>
      </c>
      <c r="E415" s="11" t="s">
        <v>73</v>
      </c>
      <c r="F415" s="33" t="s">
        <v>1474</v>
      </c>
      <c r="G415" s="43" t="s">
        <v>48</v>
      </c>
      <c r="H415" s="26" t="s">
        <v>49</v>
      </c>
      <c r="I415" s="26" t="s">
        <v>50</v>
      </c>
      <c r="J415" s="33" t="s">
        <v>92</v>
      </c>
      <c r="K415" s="33" t="s">
        <v>1126</v>
      </c>
      <c r="L415" s="33"/>
      <c r="M415" s="33" t="s">
        <v>1318</v>
      </c>
      <c r="N415" s="33"/>
      <c r="O415" s="33"/>
      <c r="P415" s="33"/>
      <c r="Q415" s="44" t="s">
        <v>1309</v>
      </c>
      <c r="R415" s="44" t="s">
        <v>1317</v>
      </c>
      <c r="S415" s="43" t="s">
        <v>48</v>
      </c>
      <c r="T415" s="33" t="s">
        <v>40</v>
      </c>
      <c r="U415" s="33" t="s">
        <v>884</v>
      </c>
      <c r="V415" s="33" t="s">
        <v>40</v>
      </c>
      <c r="W415" s="33" t="s">
        <v>40</v>
      </c>
      <c r="X415" s="53" t="s">
        <v>1230</v>
      </c>
      <c r="Y415" s="33" t="s">
        <v>641</v>
      </c>
      <c r="Z415" s="33" t="s">
        <v>72</v>
      </c>
      <c r="AA415" s="33">
        <v>8</v>
      </c>
      <c r="AB415" s="33">
        <v>0</v>
      </c>
      <c r="AC415" s="32">
        <v>67000</v>
      </c>
      <c r="AD415" s="12">
        <f>AA415/24*AC415</f>
        <v>22333.333333333332</v>
      </c>
      <c r="AE415" s="12">
        <f>AB415/24*AC415</f>
        <v>0</v>
      </c>
      <c r="AF415" s="44"/>
    </row>
    <row r="416" spans="1:32" ht="14.4" x14ac:dyDescent="0.25">
      <c r="A416" s="8">
        <v>415</v>
      </c>
      <c r="B416" s="60">
        <v>46116</v>
      </c>
      <c r="C416" s="35">
        <v>0.4375</v>
      </c>
      <c r="D416" s="43" t="s">
        <v>601</v>
      </c>
      <c r="E416" s="11" t="s">
        <v>73</v>
      </c>
      <c r="F416" s="33" t="s">
        <v>1474</v>
      </c>
      <c r="G416" s="43" t="s">
        <v>48</v>
      </c>
      <c r="H416" s="26" t="s">
        <v>49</v>
      </c>
      <c r="I416" s="26" t="s">
        <v>50</v>
      </c>
      <c r="J416" s="33" t="s">
        <v>214</v>
      </c>
      <c r="K416" s="33" t="s">
        <v>1631</v>
      </c>
      <c r="L416" s="33"/>
      <c r="M416" s="33" t="s">
        <v>983</v>
      </c>
      <c r="N416" s="33"/>
      <c r="O416" s="33"/>
      <c r="P416" s="33"/>
      <c r="Q416" s="44" t="s">
        <v>1307</v>
      </c>
      <c r="R416" s="44" t="s">
        <v>1308</v>
      </c>
      <c r="S416" s="43" t="s">
        <v>48</v>
      </c>
      <c r="T416" s="33" t="s">
        <v>40</v>
      </c>
      <c r="U416" s="33" t="s">
        <v>884</v>
      </c>
      <c r="V416" s="17" t="s">
        <v>40</v>
      </c>
      <c r="W416" s="17" t="s">
        <v>40</v>
      </c>
      <c r="X416" s="44" t="s">
        <v>1230</v>
      </c>
      <c r="Y416" s="33" t="s">
        <v>641</v>
      </c>
      <c r="Z416" s="33" t="s">
        <v>72</v>
      </c>
      <c r="AA416" s="33">
        <v>0</v>
      </c>
      <c r="AB416" s="33">
        <v>0</v>
      </c>
      <c r="AC416" s="32">
        <v>67000</v>
      </c>
      <c r="AD416" s="12">
        <f t="shared" ref="AD416:AD465" si="41">AA416/24*AC416</f>
        <v>0</v>
      </c>
      <c r="AE416" s="12">
        <f t="shared" ref="AE416" si="42">AB416/24*AC416</f>
        <v>0</v>
      </c>
      <c r="AF416" s="44"/>
    </row>
    <row r="417" spans="1:32" ht="14.4" x14ac:dyDescent="0.25">
      <c r="A417" s="8">
        <v>416</v>
      </c>
      <c r="B417" s="60">
        <v>46116</v>
      </c>
      <c r="C417" s="35">
        <v>0.4375</v>
      </c>
      <c r="D417" s="43" t="s">
        <v>601</v>
      </c>
      <c r="E417" s="11" t="s">
        <v>73</v>
      </c>
      <c r="F417" s="33" t="s">
        <v>1474</v>
      </c>
      <c r="G417" s="43" t="s">
        <v>48</v>
      </c>
      <c r="H417" s="26" t="s">
        <v>49</v>
      </c>
      <c r="I417" s="26" t="s">
        <v>50</v>
      </c>
      <c r="J417" s="33" t="s">
        <v>92</v>
      </c>
      <c r="K417" s="33" t="s">
        <v>559</v>
      </c>
      <c r="L417" s="33"/>
      <c r="M417" s="43" t="s">
        <v>1471</v>
      </c>
      <c r="N417" s="43" t="s">
        <v>1381</v>
      </c>
      <c r="O417" s="33">
        <v>17</v>
      </c>
      <c r="P417" s="33">
        <v>19</v>
      </c>
      <c r="Q417" s="53" t="s">
        <v>1410</v>
      </c>
      <c r="R417" s="53" t="s">
        <v>1473</v>
      </c>
      <c r="S417" s="43" t="s">
        <v>48</v>
      </c>
      <c r="T417" s="33" t="s">
        <v>40</v>
      </c>
      <c r="U417" s="33" t="s">
        <v>884</v>
      </c>
      <c r="V417" s="33" t="s">
        <v>40</v>
      </c>
      <c r="W417" s="33" t="s">
        <v>80</v>
      </c>
      <c r="X417" s="44" t="s">
        <v>1386</v>
      </c>
      <c r="Y417" s="33" t="s">
        <v>641</v>
      </c>
      <c r="Z417" s="33" t="s">
        <v>72</v>
      </c>
      <c r="AA417" s="33">
        <v>0</v>
      </c>
      <c r="AB417" s="33">
        <v>0.36</v>
      </c>
      <c r="AC417" s="32">
        <v>67000</v>
      </c>
      <c r="AD417" s="12">
        <f t="shared" si="41"/>
        <v>0</v>
      </c>
      <c r="AE417" s="12">
        <f t="shared" si="19"/>
        <v>1005</v>
      </c>
      <c r="AF417" s="44" t="s">
        <v>1570</v>
      </c>
    </row>
    <row r="418" spans="1:32" ht="14.4" x14ac:dyDescent="0.25">
      <c r="A418" s="8">
        <v>417</v>
      </c>
      <c r="B418" s="60">
        <v>46116</v>
      </c>
      <c r="C418" s="35">
        <v>0.47916666666666669</v>
      </c>
      <c r="D418" s="43" t="s">
        <v>585</v>
      </c>
      <c r="E418" s="11" t="s">
        <v>73</v>
      </c>
      <c r="F418" s="33" t="s">
        <v>1129</v>
      </c>
      <c r="G418" s="43" t="s">
        <v>163</v>
      </c>
      <c r="H418" s="26" t="s">
        <v>49</v>
      </c>
      <c r="I418" s="26" t="s">
        <v>50</v>
      </c>
      <c r="J418" s="33" t="s">
        <v>214</v>
      </c>
      <c r="K418" s="33" t="s">
        <v>1631</v>
      </c>
      <c r="L418" s="33"/>
      <c r="M418" s="33" t="s">
        <v>983</v>
      </c>
      <c r="N418" s="33"/>
      <c r="O418" s="33"/>
      <c r="P418" s="33"/>
      <c r="Q418" s="44" t="s">
        <v>1307</v>
      </c>
      <c r="R418" s="44" t="s">
        <v>1308</v>
      </c>
      <c r="S418" s="43" t="s">
        <v>163</v>
      </c>
      <c r="T418" s="33" t="s">
        <v>40</v>
      </c>
      <c r="U418" s="33" t="s">
        <v>884</v>
      </c>
      <c r="V418" s="17" t="s">
        <v>40</v>
      </c>
      <c r="W418" s="17" t="s">
        <v>40</v>
      </c>
      <c r="X418" s="53" t="s">
        <v>1230</v>
      </c>
      <c r="Y418" s="33" t="s">
        <v>641</v>
      </c>
      <c r="Z418" s="33" t="s">
        <v>72</v>
      </c>
      <c r="AA418" s="33">
        <v>0</v>
      </c>
      <c r="AB418" s="33">
        <v>0</v>
      </c>
      <c r="AC418" s="32">
        <v>67000</v>
      </c>
      <c r="AD418" s="12">
        <f t="shared" si="41"/>
        <v>0</v>
      </c>
      <c r="AE418" s="12">
        <f t="shared" ref="AE418:AE419" si="43">AB418/24*AC418</f>
        <v>0</v>
      </c>
      <c r="AF418" s="44"/>
    </row>
    <row r="419" spans="1:32" ht="14.4" x14ac:dyDescent="0.25">
      <c r="A419" s="8">
        <v>418</v>
      </c>
      <c r="B419" s="60">
        <v>46116</v>
      </c>
      <c r="C419" s="35">
        <v>0.47916666666666669</v>
      </c>
      <c r="D419" s="43" t="s">
        <v>585</v>
      </c>
      <c r="E419" s="11" t="s">
        <v>73</v>
      </c>
      <c r="F419" s="33" t="s">
        <v>1129</v>
      </c>
      <c r="G419" s="43" t="s">
        <v>163</v>
      </c>
      <c r="H419" s="26" t="s">
        <v>49</v>
      </c>
      <c r="I419" s="26" t="s">
        <v>50</v>
      </c>
      <c r="J419" s="33" t="s">
        <v>92</v>
      </c>
      <c r="K419" s="33" t="s">
        <v>559</v>
      </c>
      <c r="L419" s="33"/>
      <c r="M419" s="43" t="s">
        <v>1471</v>
      </c>
      <c r="N419" s="43" t="s">
        <v>1381</v>
      </c>
      <c r="O419" s="33">
        <v>18</v>
      </c>
      <c r="P419" s="33">
        <v>26</v>
      </c>
      <c r="Q419" s="53" t="s">
        <v>1410</v>
      </c>
      <c r="R419" s="53" t="s">
        <v>1473</v>
      </c>
      <c r="S419" s="43" t="s">
        <v>163</v>
      </c>
      <c r="T419" s="33" t="s">
        <v>40</v>
      </c>
      <c r="U419" s="33" t="s">
        <v>884</v>
      </c>
      <c r="V419" s="33" t="s">
        <v>40</v>
      </c>
      <c r="W419" s="33" t="s">
        <v>80</v>
      </c>
      <c r="X419" s="44" t="s">
        <v>1386</v>
      </c>
      <c r="Y419" s="33" t="s">
        <v>641</v>
      </c>
      <c r="Z419" s="33" t="s">
        <v>72</v>
      </c>
      <c r="AA419" s="33">
        <v>0</v>
      </c>
      <c r="AB419" s="33">
        <v>0</v>
      </c>
      <c r="AC419" s="32">
        <v>67000</v>
      </c>
      <c r="AD419" s="12">
        <f t="shared" si="41"/>
        <v>0</v>
      </c>
      <c r="AE419" s="12">
        <f t="shared" si="43"/>
        <v>0</v>
      </c>
      <c r="AF419" s="44" t="s">
        <v>1575</v>
      </c>
    </row>
    <row r="420" spans="1:32" ht="26.4" x14ac:dyDescent="0.25">
      <c r="A420" s="8">
        <v>419</v>
      </c>
      <c r="B420" s="60">
        <v>46116</v>
      </c>
      <c r="C420" s="35">
        <v>0.54166666666666663</v>
      </c>
      <c r="D420" s="43" t="s">
        <v>580</v>
      </c>
      <c r="E420" s="11" t="s">
        <v>73</v>
      </c>
      <c r="F420" s="43" t="s">
        <v>1283</v>
      </c>
      <c r="G420" s="43" t="s">
        <v>163</v>
      </c>
      <c r="H420" s="26" t="s">
        <v>49</v>
      </c>
      <c r="I420" s="26" t="s">
        <v>50</v>
      </c>
      <c r="J420" s="33" t="s">
        <v>92</v>
      </c>
      <c r="K420" s="33" t="s">
        <v>75</v>
      </c>
      <c r="L420" s="33"/>
      <c r="M420" s="43" t="s">
        <v>74</v>
      </c>
      <c r="N420" s="43" t="s">
        <v>75</v>
      </c>
      <c r="O420" s="33">
        <v>60</v>
      </c>
      <c r="P420" s="33">
        <v>45</v>
      </c>
      <c r="Q420" s="53" t="s">
        <v>1516</v>
      </c>
      <c r="R420" s="53" t="s">
        <v>1518</v>
      </c>
      <c r="S420" s="43" t="s">
        <v>163</v>
      </c>
      <c r="T420" s="33" t="s">
        <v>40</v>
      </c>
      <c r="U420" s="33" t="s">
        <v>884</v>
      </c>
      <c r="V420" s="33" t="s">
        <v>40</v>
      </c>
      <c r="W420" s="33" t="s">
        <v>40</v>
      </c>
      <c r="X420" s="44" t="s">
        <v>1230</v>
      </c>
      <c r="Y420" s="33" t="s">
        <v>641</v>
      </c>
      <c r="Z420" s="33" t="s">
        <v>72</v>
      </c>
      <c r="AA420" s="33">
        <v>0</v>
      </c>
      <c r="AB420" s="33">
        <v>0</v>
      </c>
      <c r="AC420" s="32">
        <v>67000</v>
      </c>
      <c r="AD420" s="12">
        <f t="shared" si="41"/>
        <v>0</v>
      </c>
      <c r="AE420" s="12">
        <f t="shared" si="19"/>
        <v>0</v>
      </c>
      <c r="AF420" s="44"/>
    </row>
    <row r="421" spans="1:32" ht="26.4" x14ac:dyDescent="0.25">
      <c r="A421" s="8">
        <v>420</v>
      </c>
      <c r="B421" s="60">
        <v>46116</v>
      </c>
      <c r="C421" s="35">
        <v>0.54166666666666663</v>
      </c>
      <c r="D421" s="43" t="s">
        <v>580</v>
      </c>
      <c r="E421" s="11" t="s">
        <v>73</v>
      </c>
      <c r="F421" s="43" t="s">
        <v>1283</v>
      </c>
      <c r="G421" s="43" t="s">
        <v>163</v>
      </c>
      <c r="H421" s="26" t="s">
        <v>49</v>
      </c>
      <c r="I421" s="26" t="s">
        <v>50</v>
      </c>
      <c r="J421" s="33" t="s">
        <v>92</v>
      </c>
      <c r="K421" s="33" t="s">
        <v>559</v>
      </c>
      <c r="L421" s="33"/>
      <c r="M421" s="43" t="s">
        <v>1471</v>
      </c>
      <c r="N421" s="43" t="s">
        <v>1381</v>
      </c>
      <c r="O421" s="33">
        <v>22</v>
      </c>
      <c r="P421" s="33">
        <v>20</v>
      </c>
      <c r="Q421" s="53" t="s">
        <v>1410</v>
      </c>
      <c r="R421" s="53" t="s">
        <v>1517</v>
      </c>
      <c r="S421" s="43" t="s">
        <v>163</v>
      </c>
      <c r="T421" s="33" t="s">
        <v>40</v>
      </c>
      <c r="U421" s="33" t="s">
        <v>884</v>
      </c>
      <c r="V421" s="33" t="s">
        <v>40</v>
      </c>
      <c r="W421" s="33" t="s">
        <v>40</v>
      </c>
      <c r="X421" s="44" t="s">
        <v>1230</v>
      </c>
      <c r="Y421" s="33" t="s">
        <v>641</v>
      </c>
      <c r="Z421" s="33" t="s">
        <v>72</v>
      </c>
      <c r="AA421" s="33">
        <v>0</v>
      </c>
      <c r="AB421" s="33">
        <v>0</v>
      </c>
      <c r="AC421" s="32">
        <v>67000</v>
      </c>
      <c r="AD421" s="12">
        <f t="shared" si="41"/>
        <v>0</v>
      </c>
      <c r="AE421" s="12">
        <f t="shared" si="19"/>
        <v>0</v>
      </c>
      <c r="AF421" s="44"/>
    </row>
    <row r="422" spans="1:32" ht="26.4" x14ac:dyDescent="0.25">
      <c r="A422" s="8">
        <v>421</v>
      </c>
      <c r="B422" s="60">
        <v>46116</v>
      </c>
      <c r="C422" s="35">
        <v>0.69791666666666663</v>
      </c>
      <c r="D422" s="43" t="s">
        <v>580</v>
      </c>
      <c r="E422" s="11" t="s">
        <v>73</v>
      </c>
      <c r="F422" s="43" t="s">
        <v>1283</v>
      </c>
      <c r="G422" s="43" t="s">
        <v>163</v>
      </c>
      <c r="H422" s="26" t="s">
        <v>49</v>
      </c>
      <c r="I422" s="26" t="s">
        <v>50</v>
      </c>
      <c r="J422" s="33" t="s">
        <v>92</v>
      </c>
      <c r="K422" s="33" t="s">
        <v>75</v>
      </c>
      <c r="L422" s="33"/>
      <c r="M422" s="43" t="s">
        <v>1520</v>
      </c>
      <c r="N422" s="43" t="s">
        <v>75</v>
      </c>
      <c r="O422" s="33">
        <v>75</v>
      </c>
      <c r="P422" s="33">
        <v>10</v>
      </c>
      <c r="Q422" s="53" t="s">
        <v>1522</v>
      </c>
      <c r="R422" s="53" t="s">
        <v>1521</v>
      </c>
      <c r="S422" s="43" t="s">
        <v>163</v>
      </c>
      <c r="T422" s="33" t="s">
        <v>40</v>
      </c>
      <c r="U422" s="33" t="s">
        <v>884</v>
      </c>
      <c r="V422" s="33" t="s">
        <v>40</v>
      </c>
      <c r="W422" s="33" t="s">
        <v>80</v>
      </c>
      <c r="X422" s="53" t="s">
        <v>1523</v>
      </c>
      <c r="Y422" s="33" t="s">
        <v>801</v>
      </c>
      <c r="Z422" s="33" t="s">
        <v>72</v>
      </c>
      <c r="AA422" s="33">
        <v>0</v>
      </c>
      <c r="AB422" s="33">
        <v>0</v>
      </c>
      <c r="AC422" s="32">
        <v>67000</v>
      </c>
      <c r="AD422" s="12">
        <f t="shared" si="41"/>
        <v>0</v>
      </c>
      <c r="AE422" s="12">
        <f t="shared" si="19"/>
        <v>0</v>
      </c>
      <c r="AF422" s="44"/>
    </row>
    <row r="423" spans="1:32" ht="26.4" x14ac:dyDescent="0.25">
      <c r="A423" s="8">
        <v>422</v>
      </c>
      <c r="B423" s="60">
        <v>46116</v>
      </c>
      <c r="C423" s="35">
        <v>0.84722222222222221</v>
      </c>
      <c r="D423" s="43" t="s">
        <v>601</v>
      </c>
      <c r="E423" s="11" t="s">
        <v>73</v>
      </c>
      <c r="F423" s="33" t="s">
        <v>1474</v>
      </c>
      <c r="G423" s="43" t="s">
        <v>28</v>
      </c>
      <c r="H423" s="26" t="s">
        <v>49</v>
      </c>
      <c r="I423" s="26" t="s">
        <v>50</v>
      </c>
      <c r="J423" s="33" t="s">
        <v>214</v>
      </c>
      <c r="K423" s="33" t="s">
        <v>214</v>
      </c>
      <c r="L423" s="33"/>
      <c r="M423" s="43" t="s">
        <v>1524</v>
      </c>
      <c r="N423" s="43"/>
      <c r="O423" s="33"/>
      <c r="P423" s="33"/>
      <c r="Q423" s="53" t="s">
        <v>1525</v>
      </c>
      <c r="R423" s="53" t="s">
        <v>1526</v>
      </c>
      <c r="S423" s="43" t="s">
        <v>48</v>
      </c>
      <c r="T423" s="33" t="s">
        <v>40</v>
      </c>
      <c r="U423" s="33" t="s">
        <v>1527</v>
      </c>
      <c r="V423" s="17" t="s">
        <v>40</v>
      </c>
      <c r="W423" s="17" t="s">
        <v>40</v>
      </c>
      <c r="X423" s="44" t="s">
        <v>1529</v>
      </c>
      <c r="Y423" s="33" t="s">
        <v>801</v>
      </c>
      <c r="Z423" s="33" t="s">
        <v>123</v>
      </c>
      <c r="AA423" s="33">
        <v>0</v>
      </c>
      <c r="AB423" s="33">
        <v>0</v>
      </c>
      <c r="AC423" s="32">
        <v>67000</v>
      </c>
      <c r="AD423" s="12">
        <f t="shared" si="41"/>
        <v>0</v>
      </c>
      <c r="AE423" s="12">
        <f t="shared" ref="AE423:AE426" si="44">AB423/24*AC423</f>
        <v>0</v>
      </c>
      <c r="AF423" s="44"/>
    </row>
    <row r="424" spans="1:32" ht="14.4" x14ac:dyDescent="0.25">
      <c r="A424" s="8">
        <v>423</v>
      </c>
      <c r="B424" s="60">
        <v>46116</v>
      </c>
      <c r="C424" s="35">
        <v>0.95833333333333337</v>
      </c>
      <c r="D424" s="43" t="s">
        <v>580</v>
      </c>
      <c r="E424" s="11" t="s">
        <v>73</v>
      </c>
      <c r="F424" s="43" t="s">
        <v>1283</v>
      </c>
      <c r="G424" s="43" t="s">
        <v>163</v>
      </c>
      <c r="H424" s="26" t="s">
        <v>49</v>
      </c>
      <c r="I424" s="26" t="s">
        <v>50</v>
      </c>
      <c r="J424" s="33" t="s">
        <v>64</v>
      </c>
      <c r="K424" s="33" t="s">
        <v>32</v>
      </c>
      <c r="L424" s="33"/>
      <c r="M424" s="43" t="s">
        <v>282</v>
      </c>
      <c r="N424" s="43" t="s">
        <v>726</v>
      </c>
      <c r="O424" s="33">
        <v>0</v>
      </c>
      <c r="P424" s="33">
        <v>130</v>
      </c>
      <c r="Q424" s="53" t="s">
        <v>1530</v>
      </c>
      <c r="R424" s="53" t="s">
        <v>1388</v>
      </c>
      <c r="S424" s="43" t="s">
        <v>163</v>
      </c>
      <c r="T424" s="33" t="s">
        <v>40</v>
      </c>
      <c r="U424" s="33" t="s">
        <v>1531</v>
      </c>
      <c r="V424" s="33" t="s">
        <v>40</v>
      </c>
      <c r="W424" s="33" t="s">
        <v>40</v>
      </c>
      <c r="X424" s="53" t="s">
        <v>1532</v>
      </c>
      <c r="Y424" s="33" t="s">
        <v>632</v>
      </c>
      <c r="Z424" s="33" t="s">
        <v>123</v>
      </c>
      <c r="AA424" s="33">
        <v>0</v>
      </c>
      <c r="AB424" s="33">
        <v>0</v>
      </c>
      <c r="AC424" s="32">
        <v>67000</v>
      </c>
      <c r="AD424" s="12">
        <f t="shared" si="41"/>
        <v>0</v>
      </c>
      <c r="AE424" s="12">
        <f t="shared" si="44"/>
        <v>0</v>
      </c>
      <c r="AF424" s="44"/>
    </row>
    <row r="425" spans="1:32" ht="14.4" x14ac:dyDescent="0.25">
      <c r="A425" s="8">
        <v>424</v>
      </c>
      <c r="B425" s="60">
        <v>46117</v>
      </c>
      <c r="C425" s="35">
        <v>0.33333333333333331</v>
      </c>
      <c r="D425" s="43" t="s">
        <v>580</v>
      </c>
      <c r="E425" s="11" t="s">
        <v>73</v>
      </c>
      <c r="F425" s="43" t="s">
        <v>1283</v>
      </c>
      <c r="G425" s="43" t="s">
        <v>163</v>
      </c>
      <c r="H425" s="26" t="s">
        <v>49</v>
      </c>
      <c r="I425" s="26" t="s">
        <v>50</v>
      </c>
      <c r="J425" s="33" t="s">
        <v>92</v>
      </c>
      <c r="K425" s="33" t="s">
        <v>75</v>
      </c>
      <c r="L425" s="33"/>
      <c r="M425" s="43" t="s">
        <v>74</v>
      </c>
      <c r="N425" s="43" t="s">
        <v>75</v>
      </c>
      <c r="O425" s="33">
        <v>75</v>
      </c>
      <c r="P425" s="33">
        <v>60</v>
      </c>
      <c r="Q425" s="53" t="s">
        <v>1533</v>
      </c>
      <c r="R425" s="53" t="s">
        <v>1534</v>
      </c>
      <c r="S425" s="43" t="s">
        <v>163</v>
      </c>
      <c r="T425" s="33" t="s">
        <v>40</v>
      </c>
      <c r="U425" s="33" t="s">
        <v>884</v>
      </c>
      <c r="V425" s="33" t="s">
        <v>40</v>
      </c>
      <c r="W425" s="33" t="s">
        <v>80</v>
      </c>
      <c r="X425" s="44" t="s">
        <v>1386</v>
      </c>
      <c r="Y425" s="33" t="s">
        <v>641</v>
      </c>
      <c r="Z425" s="33" t="s">
        <v>72</v>
      </c>
      <c r="AA425" s="33">
        <v>0</v>
      </c>
      <c r="AB425" s="33">
        <v>7.53</v>
      </c>
      <c r="AC425" s="32">
        <v>67000</v>
      </c>
      <c r="AD425" s="12">
        <f t="shared" si="41"/>
        <v>0</v>
      </c>
      <c r="AE425" s="12">
        <f t="shared" si="44"/>
        <v>21021.250000000004</v>
      </c>
      <c r="AF425" s="44" t="s">
        <v>1593</v>
      </c>
    </row>
    <row r="426" spans="1:32" ht="26.4" x14ac:dyDescent="0.25">
      <c r="A426" s="8">
        <v>425</v>
      </c>
      <c r="B426" s="60">
        <v>46117</v>
      </c>
      <c r="C426" s="35">
        <v>0.33333333333333331</v>
      </c>
      <c r="D426" s="43" t="s">
        <v>580</v>
      </c>
      <c r="E426" s="11" t="s">
        <v>73</v>
      </c>
      <c r="F426" s="43" t="s">
        <v>1283</v>
      </c>
      <c r="G426" s="43" t="s">
        <v>163</v>
      </c>
      <c r="H426" s="26" t="s">
        <v>49</v>
      </c>
      <c r="I426" s="26" t="s">
        <v>50</v>
      </c>
      <c r="J426" s="33" t="s">
        <v>92</v>
      </c>
      <c r="K426" s="33" t="s">
        <v>559</v>
      </c>
      <c r="L426" s="33"/>
      <c r="M426" s="43" t="s">
        <v>1471</v>
      </c>
      <c r="N426" s="43" t="s">
        <v>1381</v>
      </c>
      <c r="O426" s="33">
        <v>22</v>
      </c>
      <c r="P426" s="33">
        <v>20</v>
      </c>
      <c r="Q426" s="53" t="s">
        <v>1410</v>
      </c>
      <c r="R426" s="53" t="s">
        <v>1517</v>
      </c>
      <c r="S426" s="43" t="s">
        <v>163</v>
      </c>
      <c r="T426" s="33" t="s">
        <v>40</v>
      </c>
      <c r="U426" s="33" t="s">
        <v>884</v>
      </c>
      <c r="V426" s="33" t="s">
        <v>40</v>
      </c>
      <c r="W426" s="33" t="s">
        <v>40</v>
      </c>
      <c r="X426" s="44" t="s">
        <v>1230</v>
      </c>
      <c r="Y426" s="33" t="s">
        <v>641</v>
      </c>
      <c r="Z426" s="33" t="s">
        <v>72</v>
      </c>
      <c r="AA426" s="33">
        <v>0</v>
      </c>
      <c r="AB426" s="33">
        <v>0</v>
      </c>
      <c r="AC426" s="32">
        <v>67000</v>
      </c>
      <c r="AD426" s="12">
        <f t="shared" si="41"/>
        <v>0</v>
      </c>
      <c r="AE426" s="12">
        <f t="shared" si="44"/>
        <v>0</v>
      </c>
      <c r="AF426" s="44"/>
    </row>
    <row r="427" spans="1:32" ht="39.6" x14ac:dyDescent="0.25">
      <c r="A427" s="8">
        <v>426</v>
      </c>
      <c r="B427" s="60">
        <v>46117</v>
      </c>
      <c r="C427" s="35">
        <v>0.93055555555555558</v>
      </c>
      <c r="D427" s="43" t="s">
        <v>580</v>
      </c>
      <c r="E427" s="11" t="s">
        <v>73</v>
      </c>
      <c r="F427" s="43" t="s">
        <v>1283</v>
      </c>
      <c r="G427" s="43" t="s">
        <v>163</v>
      </c>
      <c r="H427" s="26" t="s">
        <v>49</v>
      </c>
      <c r="I427" s="26" t="s">
        <v>50</v>
      </c>
      <c r="J427" s="33" t="s">
        <v>92</v>
      </c>
      <c r="K427" s="33" t="s">
        <v>559</v>
      </c>
      <c r="L427" s="33"/>
      <c r="M427" s="43" t="s">
        <v>1537</v>
      </c>
      <c r="N427" s="43" t="s">
        <v>1381</v>
      </c>
      <c r="O427" s="33">
        <v>25</v>
      </c>
      <c r="P427" s="33">
        <v>20</v>
      </c>
      <c r="Q427" s="53" t="s">
        <v>1538</v>
      </c>
      <c r="R427" s="53" t="s">
        <v>1539</v>
      </c>
      <c r="S427" s="43" t="s">
        <v>163</v>
      </c>
      <c r="T427" s="33" t="s">
        <v>40</v>
      </c>
      <c r="U427" s="33" t="s">
        <v>884</v>
      </c>
      <c r="V427" s="33" t="s">
        <v>40</v>
      </c>
      <c r="W427" s="33" t="s">
        <v>40</v>
      </c>
      <c r="X427" s="53" t="s">
        <v>1540</v>
      </c>
      <c r="Y427" s="33" t="s">
        <v>632</v>
      </c>
      <c r="Z427" s="33" t="s">
        <v>123</v>
      </c>
      <c r="AA427" s="33">
        <v>0</v>
      </c>
      <c r="AB427" s="33">
        <v>0</v>
      </c>
      <c r="AC427" s="32">
        <v>67000</v>
      </c>
      <c r="AD427" s="12">
        <f t="shared" si="41"/>
        <v>0</v>
      </c>
      <c r="AE427" s="12">
        <v>0</v>
      </c>
      <c r="AF427" s="53" t="s">
        <v>1609</v>
      </c>
    </row>
    <row r="428" spans="1:32" ht="15" customHeight="1" x14ac:dyDescent="0.25">
      <c r="A428" s="8">
        <v>427</v>
      </c>
      <c r="B428" s="60">
        <v>46118</v>
      </c>
      <c r="C428" s="35">
        <v>0.52638888888888891</v>
      </c>
      <c r="D428" s="43" t="s">
        <v>585</v>
      </c>
      <c r="E428" s="11" t="s">
        <v>73</v>
      </c>
      <c r="F428" s="33" t="s">
        <v>1129</v>
      </c>
      <c r="G428" s="43" t="s">
        <v>163</v>
      </c>
      <c r="H428" s="26" t="s">
        <v>49</v>
      </c>
      <c r="I428" s="26" t="s">
        <v>50</v>
      </c>
      <c r="J428" s="33" t="s">
        <v>92</v>
      </c>
      <c r="K428" s="33" t="s">
        <v>559</v>
      </c>
      <c r="L428" s="33"/>
      <c r="M428" s="43" t="s">
        <v>1007</v>
      </c>
      <c r="N428" s="43" t="s">
        <v>1541</v>
      </c>
      <c r="O428" s="33">
        <v>56.9</v>
      </c>
      <c r="P428" s="33"/>
      <c r="Q428" s="53" t="s">
        <v>1544</v>
      </c>
      <c r="R428" s="53" t="s">
        <v>1542</v>
      </c>
      <c r="S428" s="43" t="s">
        <v>163</v>
      </c>
      <c r="T428" s="33" t="s">
        <v>40</v>
      </c>
      <c r="U428" s="33" t="s">
        <v>884</v>
      </c>
      <c r="V428" s="33" t="s">
        <v>40</v>
      </c>
      <c r="W428" s="33" t="s">
        <v>40</v>
      </c>
      <c r="X428" s="53" t="s">
        <v>1543</v>
      </c>
      <c r="Y428" s="33" t="s">
        <v>632</v>
      </c>
      <c r="Z428" s="33" t="s">
        <v>123</v>
      </c>
      <c r="AA428" s="33">
        <v>0</v>
      </c>
      <c r="AB428" s="33">
        <v>0</v>
      </c>
      <c r="AC428" s="32">
        <v>67000</v>
      </c>
      <c r="AD428" s="12">
        <f t="shared" si="41"/>
        <v>0</v>
      </c>
      <c r="AE428" s="12">
        <f t="shared" ref="AE428" si="45">AB428/24*AC428</f>
        <v>0</v>
      </c>
      <c r="AF428" s="44" t="s">
        <v>1575</v>
      </c>
    </row>
    <row r="429" spans="1:32" ht="39.6" x14ac:dyDescent="0.25">
      <c r="A429" s="8">
        <v>428</v>
      </c>
      <c r="B429" s="60">
        <v>46118</v>
      </c>
      <c r="C429" s="35">
        <v>0.18333333333333332</v>
      </c>
      <c r="D429" s="43" t="s">
        <v>585</v>
      </c>
      <c r="E429" s="11" t="s">
        <v>73</v>
      </c>
      <c r="F429" s="33" t="s">
        <v>1129</v>
      </c>
      <c r="G429" s="43" t="s">
        <v>163</v>
      </c>
      <c r="H429" s="26" t="s">
        <v>49</v>
      </c>
      <c r="I429" s="26" t="s">
        <v>50</v>
      </c>
      <c r="J429" s="33" t="s">
        <v>92</v>
      </c>
      <c r="K429" s="33" t="s">
        <v>559</v>
      </c>
      <c r="L429" s="33"/>
      <c r="M429" s="43" t="s">
        <v>1007</v>
      </c>
      <c r="N429" s="43" t="s">
        <v>1541</v>
      </c>
      <c r="O429" s="33">
        <v>111.75</v>
      </c>
      <c r="P429" s="33"/>
      <c r="Q429" s="53" t="s">
        <v>1545</v>
      </c>
      <c r="R429" s="53" t="s">
        <v>1542</v>
      </c>
      <c r="S429" s="43" t="s">
        <v>163</v>
      </c>
      <c r="T429" s="33" t="s">
        <v>40</v>
      </c>
      <c r="U429" s="33" t="s">
        <v>884</v>
      </c>
      <c r="V429" s="33" t="s">
        <v>40</v>
      </c>
      <c r="W429" s="33" t="s">
        <v>40</v>
      </c>
      <c r="X429" s="53" t="s">
        <v>1561</v>
      </c>
      <c r="Y429" s="33" t="s">
        <v>632</v>
      </c>
      <c r="Z429" s="33" t="s">
        <v>123</v>
      </c>
      <c r="AA429" s="33">
        <v>0</v>
      </c>
      <c r="AB429" s="33">
        <v>0</v>
      </c>
      <c r="AC429" s="32">
        <v>67000</v>
      </c>
      <c r="AD429" s="12">
        <f t="shared" si="41"/>
        <v>0</v>
      </c>
      <c r="AE429" s="12">
        <f t="shared" ref="AE429" si="46">AB429/24*AC429</f>
        <v>0</v>
      </c>
      <c r="AF429" s="44"/>
    </row>
    <row r="430" spans="1:32" ht="14.4" x14ac:dyDescent="0.25">
      <c r="A430" s="8">
        <v>429</v>
      </c>
      <c r="B430" s="60">
        <v>46118</v>
      </c>
      <c r="C430" s="35">
        <v>0.2326388888888889</v>
      </c>
      <c r="D430" s="43" t="s">
        <v>747</v>
      </c>
      <c r="E430" s="11" t="s">
        <v>73</v>
      </c>
      <c r="F430" s="43" t="s">
        <v>1127</v>
      </c>
      <c r="G430" s="43" t="s">
        <v>28</v>
      </c>
      <c r="H430" s="26" t="s">
        <v>49</v>
      </c>
      <c r="I430" s="26" t="s">
        <v>50</v>
      </c>
      <c r="J430" s="33" t="s">
        <v>92</v>
      </c>
      <c r="K430" s="33" t="s">
        <v>559</v>
      </c>
      <c r="L430" s="33"/>
      <c r="M430" s="43" t="s">
        <v>1546</v>
      </c>
      <c r="N430" s="43" t="s">
        <v>75</v>
      </c>
      <c r="O430" s="33">
        <v>35</v>
      </c>
      <c r="P430" s="33">
        <v>29</v>
      </c>
      <c r="Q430" s="53" t="s">
        <v>1547</v>
      </c>
      <c r="R430" s="53" t="s">
        <v>1548</v>
      </c>
      <c r="S430" s="43" t="s">
        <v>28</v>
      </c>
      <c r="T430" s="33" t="s">
        <v>40</v>
      </c>
      <c r="U430" s="33" t="s">
        <v>884</v>
      </c>
      <c r="V430" s="33" t="s">
        <v>40</v>
      </c>
      <c r="W430" s="33" t="s">
        <v>80</v>
      </c>
      <c r="X430" s="53" t="s">
        <v>1543</v>
      </c>
      <c r="Y430" s="33" t="s">
        <v>632</v>
      </c>
      <c r="Z430" s="33" t="s">
        <v>123</v>
      </c>
      <c r="AA430" s="33">
        <v>0</v>
      </c>
      <c r="AB430" s="33">
        <v>0</v>
      </c>
      <c r="AC430" s="32">
        <v>67000</v>
      </c>
      <c r="AD430" s="12">
        <f t="shared" si="41"/>
        <v>0</v>
      </c>
      <c r="AE430" s="12">
        <v>0</v>
      </c>
      <c r="AF430" s="53" t="s">
        <v>1609</v>
      </c>
    </row>
    <row r="431" spans="1:32" ht="14.4" x14ac:dyDescent="0.25">
      <c r="A431" s="8">
        <v>430</v>
      </c>
      <c r="B431" s="60">
        <v>46118</v>
      </c>
      <c r="C431" s="35">
        <v>0.48958333333333331</v>
      </c>
      <c r="D431" s="43" t="s">
        <v>585</v>
      </c>
      <c r="E431" s="11" t="s">
        <v>73</v>
      </c>
      <c r="F431" s="33" t="s">
        <v>1129</v>
      </c>
      <c r="G431" s="43" t="s">
        <v>163</v>
      </c>
      <c r="H431" s="26" t="s">
        <v>49</v>
      </c>
      <c r="I431" s="26" t="s">
        <v>50</v>
      </c>
      <c r="J431" s="33" t="s">
        <v>92</v>
      </c>
      <c r="K431" s="33" t="s">
        <v>559</v>
      </c>
      <c r="L431" s="33"/>
      <c r="M431" s="43" t="s">
        <v>1549</v>
      </c>
      <c r="N431" s="43"/>
      <c r="O431" s="33"/>
      <c r="P431" s="33"/>
      <c r="Q431" s="53" t="s">
        <v>1550</v>
      </c>
      <c r="R431" s="53" t="s">
        <v>1551</v>
      </c>
      <c r="S431" s="43" t="s">
        <v>163</v>
      </c>
      <c r="T431" s="43" t="s">
        <v>40</v>
      </c>
      <c r="U431" s="33"/>
      <c r="V431" s="33" t="s">
        <v>462</v>
      </c>
      <c r="W431" s="33" t="s">
        <v>80</v>
      </c>
      <c r="X431" s="44" t="s">
        <v>1386</v>
      </c>
      <c r="Y431" s="43" t="s">
        <v>43</v>
      </c>
      <c r="Z431" s="33" t="s">
        <v>72</v>
      </c>
      <c r="AA431" s="33">
        <v>0</v>
      </c>
      <c r="AB431" s="33">
        <v>0</v>
      </c>
      <c r="AC431" s="32">
        <v>67000</v>
      </c>
      <c r="AD431" s="12">
        <f t="shared" si="41"/>
        <v>0</v>
      </c>
      <c r="AE431" s="12">
        <f t="shared" si="19"/>
        <v>0</v>
      </c>
      <c r="AF431" s="44"/>
    </row>
    <row r="432" spans="1:32" ht="14.4" x14ac:dyDescent="0.25">
      <c r="A432" s="8">
        <v>431</v>
      </c>
      <c r="B432" s="60">
        <v>46118</v>
      </c>
      <c r="C432" s="35">
        <v>0.54166666666666663</v>
      </c>
      <c r="D432" s="43" t="s">
        <v>747</v>
      </c>
      <c r="E432" s="11" t="s">
        <v>73</v>
      </c>
      <c r="F432" s="43" t="s">
        <v>1127</v>
      </c>
      <c r="G432" s="43" t="s">
        <v>28</v>
      </c>
      <c r="H432" s="26" t="s">
        <v>49</v>
      </c>
      <c r="I432" s="26" t="s">
        <v>50</v>
      </c>
      <c r="J432" s="33" t="s">
        <v>214</v>
      </c>
      <c r="K432" s="33" t="s">
        <v>1631</v>
      </c>
      <c r="L432" s="33"/>
      <c r="M432" s="43" t="s">
        <v>1440</v>
      </c>
      <c r="N432" s="43"/>
      <c r="O432" s="33"/>
      <c r="P432" s="33"/>
      <c r="Q432" s="53" t="s">
        <v>1552</v>
      </c>
      <c r="R432" s="53" t="s">
        <v>909</v>
      </c>
      <c r="S432" s="43" t="s">
        <v>28</v>
      </c>
      <c r="T432" s="43" t="s">
        <v>40</v>
      </c>
      <c r="U432" s="33" t="s">
        <v>1438</v>
      </c>
      <c r="V432" s="17" t="s">
        <v>40</v>
      </c>
      <c r="W432" s="17" t="s">
        <v>40</v>
      </c>
      <c r="X432" s="44" t="s">
        <v>1439</v>
      </c>
      <c r="Y432" s="43" t="s">
        <v>641</v>
      </c>
      <c r="Z432" s="33" t="s">
        <v>72</v>
      </c>
      <c r="AA432" s="33">
        <v>0</v>
      </c>
      <c r="AB432" s="33">
        <v>0</v>
      </c>
      <c r="AC432" s="32">
        <v>67000</v>
      </c>
      <c r="AD432" s="12">
        <f t="shared" si="41"/>
        <v>0</v>
      </c>
      <c r="AE432" s="12">
        <f t="shared" si="19"/>
        <v>0</v>
      </c>
      <c r="AF432" s="44"/>
    </row>
    <row r="433" spans="1:32" ht="14.4" x14ac:dyDescent="0.25">
      <c r="A433" s="8">
        <v>432</v>
      </c>
      <c r="B433" s="60">
        <v>46118</v>
      </c>
      <c r="C433" s="35">
        <v>0.63541666666666663</v>
      </c>
      <c r="D433" s="43" t="s">
        <v>580</v>
      </c>
      <c r="E433" s="11" t="s">
        <v>73</v>
      </c>
      <c r="F433" s="43" t="s">
        <v>1283</v>
      </c>
      <c r="G433" s="43" t="s">
        <v>163</v>
      </c>
      <c r="H433" s="26" t="s">
        <v>49</v>
      </c>
      <c r="I433" s="26" t="s">
        <v>50</v>
      </c>
      <c r="J433" s="33" t="s">
        <v>64</v>
      </c>
      <c r="K433" s="33" t="s">
        <v>32</v>
      </c>
      <c r="L433" s="33"/>
      <c r="M433" s="43" t="s">
        <v>318</v>
      </c>
      <c r="N433" s="43" t="s">
        <v>722</v>
      </c>
      <c r="O433" s="33">
        <v>0</v>
      </c>
      <c r="P433" s="33">
        <v>8000</v>
      </c>
      <c r="Q433" s="53" t="s">
        <v>1553</v>
      </c>
      <c r="R433" s="53" t="s">
        <v>1554</v>
      </c>
      <c r="S433" s="43" t="s">
        <v>163</v>
      </c>
      <c r="T433" s="43" t="s">
        <v>40</v>
      </c>
      <c r="U433" s="33" t="s">
        <v>884</v>
      </c>
      <c r="V433" s="33" t="s">
        <v>40</v>
      </c>
      <c r="W433" s="33" t="s">
        <v>40</v>
      </c>
      <c r="X433" s="44" t="s">
        <v>1601</v>
      </c>
      <c r="Y433" s="43" t="s">
        <v>615</v>
      </c>
      <c r="Z433" s="33" t="s">
        <v>72</v>
      </c>
      <c r="AA433" s="33">
        <v>0</v>
      </c>
      <c r="AB433" s="33">
        <v>0</v>
      </c>
      <c r="AC433" s="32">
        <v>67000</v>
      </c>
      <c r="AD433" s="12">
        <f t="shared" si="41"/>
        <v>0</v>
      </c>
      <c r="AE433" s="12">
        <f t="shared" si="19"/>
        <v>0</v>
      </c>
      <c r="AF433" s="44"/>
    </row>
    <row r="434" spans="1:32" ht="26.4" x14ac:dyDescent="0.25">
      <c r="A434" s="8">
        <v>433</v>
      </c>
      <c r="B434" s="60">
        <v>46118</v>
      </c>
      <c r="C434" s="35">
        <v>0.83333333333333337</v>
      </c>
      <c r="D434" s="43" t="s">
        <v>747</v>
      </c>
      <c r="E434" s="11" t="s">
        <v>73</v>
      </c>
      <c r="F434" s="43" t="s">
        <v>1127</v>
      </c>
      <c r="G434" s="43" t="s">
        <v>28</v>
      </c>
      <c r="H434" s="26" t="s">
        <v>49</v>
      </c>
      <c r="I434" s="26" t="s">
        <v>50</v>
      </c>
      <c r="J434" s="33" t="s">
        <v>110</v>
      </c>
      <c r="K434" s="33" t="s">
        <v>32</v>
      </c>
      <c r="L434" s="33"/>
      <c r="M434" s="33" t="s">
        <v>282</v>
      </c>
      <c r="N434" s="33" t="s">
        <v>1131</v>
      </c>
      <c r="O434" s="33" t="s">
        <v>1132</v>
      </c>
      <c r="P434" s="33">
        <v>60</v>
      </c>
      <c r="Q434" s="44" t="s">
        <v>1556</v>
      </c>
      <c r="R434" s="44" t="s">
        <v>1557</v>
      </c>
      <c r="S434" s="33" t="s">
        <v>28</v>
      </c>
      <c r="T434" s="33" t="s">
        <v>40</v>
      </c>
      <c r="U434" s="33" t="s">
        <v>1558</v>
      </c>
      <c r="V434" s="33" t="s">
        <v>40</v>
      </c>
      <c r="W434" s="33" t="s">
        <v>40</v>
      </c>
      <c r="X434" s="44" t="s">
        <v>1559</v>
      </c>
      <c r="Y434" s="43" t="s">
        <v>648</v>
      </c>
      <c r="Z434" s="33" t="s">
        <v>123</v>
      </c>
      <c r="AA434" s="33">
        <v>0</v>
      </c>
      <c r="AB434" s="33">
        <v>0</v>
      </c>
      <c r="AC434" s="32">
        <v>67000</v>
      </c>
      <c r="AD434" s="12">
        <f t="shared" si="41"/>
        <v>0</v>
      </c>
      <c r="AE434" s="12">
        <f t="shared" ref="AE434:AE435" si="47">AB434/24*AC434</f>
        <v>0</v>
      </c>
      <c r="AF434" s="44"/>
    </row>
    <row r="435" spans="1:32" ht="26.4" x14ac:dyDescent="0.25">
      <c r="A435" s="8">
        <v>434</v>
      </c>
      <c r="B435" s="60">
        <v>46118</v>
      </c>
      <c r="C435" s="35">
        <v>0.87430555555555556</v>
      </c>
      <c r="D435" s="43" t="s">
        <v>747</v>
      </c>
      <c r="E435" s="11" t="s">
        <v>73</v>
      </c>
      <c r="F435" s="43" t="s">
        <v>1127</v>
      </c>
      <c r="G435" s="43" t="s">
        <v>28</v>
      </c>
      <c r="H435" s="26" t="s">
        <v>49</v>
      </c>
      <c r="I435" s="26" t="s">
        <v>50</v>
      </c>
      <c r="J435" s="33" t="s">
        <v>92</v>
      </c>
      <c r="K435" s="33" t="s">
        <v>559</v>
      </c>
      <c r="L435" s="33"/>
      <c r="M435" s="43" t="s">
        <v>1007</v>
      </c>
      <c r="N435" s="43" t="s">
        <v>1541</v>
      </c>
      <c r="O435" s="33">
        <v>89.5</v>
      </c>
      <c r="P435" s="33"/>
      <c r="Q435" s="53" t="s">
        <v>1560</v>
      </c>
      <c r="R435" s="53" t="s">
        <v>1542</v>
      </c>
      <c r="S435" s="43" t="s">
        <v>28</v>
      </c>
      <c r="T435" s="33" t="s">
        <v>40</v>
      </c>
      <c r="U435" s="33" t="s">
        <v>884</v>
      </c>
      <c r="V435" s="33" t="s">
        <v>40</v>
      </c>
      <c r="W435" s="33" t="s">
        <v>80</v>
      </c>
      <c r="X435" s="53" t="s">
        <v>1543</v>
      </c>
      <c r="Y435" s="43" t="s">
        <v>648</v>
      </c>
      <c r="Z435" s="33" t="s">
        <v>123</v>
      </c>
      <c r="AA435" s="33">
        <v>0</v>
      </c>
      <c r="AB435" s="33">
        <v>0</v>
      </c>
      <c r="AC435" s="32">
        <v>67000</v>
      </c>
      <c r="AD435" s="12">
        <f t="shared" si="41"/>
        <v>0</v>
      </c>
      <c r="AE435" s="12">
        <f t="shared" si="47"/>
        <v>0</v>
      </c>
      <c r="AF435" s="44"/>
    </row>
    <row r="436" spans="1:32" ht="26.4" x14ac:dyDescent="0.25">
      <c r="A436" s="8">
        <v>435</v>
      </c>
      <c r="B436" s="60">
        <v>46119</v>
      </c>
      <c r="C436" s="35">
        <v>0.1736111111111111</v>
      </c>
      <c r="D436" s="43" t="s">
        <v>580</v>
      </c>
      <c r="E436" s="11" t="s">
        <v>73</v>
      </c>
      <c r="F436" s="43" t="s">
        <v>1283</v>
      </c>
      <c r="G436" s="43" t="s">
        <v>163</v>
      </c>
      <c r="H436" s="26" t="s">
        <v>49</v>
      </c>
      <c r="I436" s="26" t="s">
        <v>50</v>
      </c>
      <c r="J436" s="33" t="s">
        <v>92</v>
      </c>
      <c r="K436" s="33" t="s">
        <v>559</v>
      </c>
      <c r="L436" s="33"/>
      <c r="M436" s="43" t="s">
        <v>1562</v>
      </c>
      <c r="N436" s="43" t="s">
        <v>75</v>
      </c>
      <c r="O436" s="33">
        <v>21</v>
      </c>
      <c r="P436" s="33">
        <v>30</v>
      </c>
      <c r="Q436" s="53" t="s">
        <v>1563</v>
      </c>
      <c r="R436" s="53" t="s">
        <v>1564</v>
      </c>
      <c r="S436" s="43" t="s">
        <v>163</v>
      </c>
      <c r="T436" s="33" t="s">
        <v>40</v>
      </c>
      <c r="U436" s="33" t="s">
        <v>1565</v>
      </c>
      <c r="V436" s="33" t="s">
        <v>40</v>
      </c>
      <c r="W436" s="33" t="s">
        <v>40</v>
      </c>
      <c r="X436" s="53" t="s">
        <v>1543</v>
      </c>
      <c r="Y436" s="33" t="s">
        <v>632</v>
      </c>
      <c r="Z436" s="33" t="s">
        <v>123</v>
      </c>
      <c r="AA436" s="33">
        <v>0</v>
      </c>
      <c r="AB436" s="33">
        <v>0</v>
      </c>
      <c r="AC436" s="32">
        <v>67000</v>
      </c>
      <c r="AD436" s="12">
        <f t="shared" si="41"/>
        <v>0</v>
      </c>
      <c r="AE436" s="12">
        <f t="shared" ref="AE436" si="48">AB436/24*AC436</f>
        <v>0</v>
      </c>
      <c r="AF436" s="44"/>
    </row>
    <row r="437" spans="1:32" ht="26.4" x14ac:dyDescent="0.25">
      <c r="A437" s="8">
        <v>436</v>
      </c>
      <c r="B437" s="60">
        <v>46119</v>
      </c>
      <c r="C437" s="35">
        <v>0.22916666666666666</v>
      </c>
      <c r="D437" s="43" t="s">
        <v>585</v>
      </c>
      <c r="E437" s="11" t="s">
        <v>73</v>
      </c>
      <c r="F437" s="33" t="s">
        <v>1129</v>
      </c>
      <c r="G437" s="43" t="s">
        <v>163</v>
      </c>
      <c r="H437" s="26" t="s">
        <v>49</v>
      </c>
      <c r="I437" s="26" t="s">
        <v>50</v>
      </c>
      <c r="J437" s="33" t="s">
        <v>110</v>
      </c>
      <c r="K437" s="33" t="s">
        <v>65</v>
      </c>
      <c r="L437" s="33"/>
      <c r="M437" s="43" t="s">
        <v>703</v>
      </c>
      <c r="N437" s="43" t="s">
        <v>912</v>
      </c>
      <c r="O437" s="33">
        <v>200</v>
      </c>
      <c r="P437" s="33">
        <v>260</v>
      </c>
      <c r="Q437" s="53" t="s">
        <v>1569</v>
      </c>
      <c r="R437" s="53" t="s">
        <v>1566</v>
      </c>
      <c r="S437" s="43" t="s">
        <v>163</v>
      </c>
      <c r="T437" s="43" t="s">
        <v>40</v>
      </c>
      <c r="U437" s="33" t="s">
        <v>1567</v>
      </c>
      <c r="V437" s="33" t="s">
        <v>80</v>
      </c>
      <c r="W437" s="33" t="s">
        <v>80</v>
      </c>
      <c r="X437" s="53" t="s">
        <v>1568</v>
      </c>
      <c r="Y437" s="33" t="s">
        <v>632</v>
      </c>
      <c r="Z437" s="33" t="s">
        <v>123</v>
      </c>
      <c r="AA437" s="33">
        <v>0</v>
      </c>
      <c r="AB437" s="33">
        <v>0</v>
      </c>
      <c r="AC437" s="32">
        <v>67000</v>
      </c>
      <c r="AD437" s="12">
        <f t="shared" si="41"/>
        <v>0</v>
      </c>
      <c r="AE437" s="12">
        <v>0</v>
      </c>
      <c r="AF437" s="44"/>
    </row>
    <row r="438" spans="1:32" ht="14.4" x14ac:dyDescent="0.25">
      <c r="A438" s="8">
        <v>437</v>
      </c>
      <c r="B438" s="60">
        <v>46119</v>
      </c>
      <c r="C438" s="35">
        <v>0.5</v>
      </c>
      <c r="D438" s="43" t="s">
        <v>601</v>
      </c>
      <c r="E438" s="11" t="s">
        <v>73</v>
      </c>
      <c r="F438" s="33" t="s">
        <v>1474</v>
      </c>
      <c r="G438" s="43" t="s">
        <v>28</v>
      </c>
      <c r="H438" s="26" t="s">
        <v>49</v>
      </c>
      <c r="I438" s="26" t="s">
        <v>50</v>
      </c>
      <c r="J438" s="33" t="s">
        <v>92</v>
      </c>
      <c r="K438" s="33" t="s">
        <v>75</v>
      </c>
      <c r="L438" s="33"/>
      <c r="M438" s="43" t="s">
        <v>1576</v>
      </c>
      <c r="N438" s="43" t="s">
        <v>75</v>
      </c>
      <c r="O438" s="33">
        <v>250</v>
      </c>
      <c r="P438" s="33">
        <v>65</v>
      </c>
      <c r="Q438" s="53" t="s">
        <v>1577</v>
      </c>
      <c r="R438" s="53" t="s">
        <v>1578</v>
      </c>
      <c r="S438" s="43" t="s">
        <v>28</v>
      </c>
      <c r="T438" s="43" t="s">
        <v>40</v>
      </c>
      <c r="U438" s="33" t="s">
        <v>884</v>
      </c>
      <c r="V438" s="33" t="s">
        <v>40</v>
      </c>
      <c r="W438" s="33" t="s">
        <v>40</v>
      </c>
      <c r="X438" s="53" t="s">
        <v>1543</v>
      </c>
      <c r="Y438" s="33" t="s">
        <v>801</v>
      </c>
      <c r="Z438" s="33" t="s">
        <v>72</v>
      </c>
      <c r="AA438" s="33">
        <v>0</v>
      </c>
      <c r="AB438" s="33">
        <v>0</v>
      </c>
      <c r="AC438" s="32">
        <v>67000</v>
      </c>
      <c r="AD438" s="12">
        <f t="shared" si="41"/>
        <v>0</v>
      </c>
      <c r="AE438" s="12">
        <f t="shared" ref="AE438" si="49">AB438/24*AC438</f>
        <v>0</v>
      </c>
      <c r="AF438" s="44"/>
    </row>
    <row r="439" spans="1:32" ht="14.4" x14ac:dyDescent="0.25">
      <c r="A439" s="8">
        <v>438</v>
      </c>
      <c r="B439" s="60">
        <v>46119</v>
      </c>
      <c r="C439" s="35">
        <v>0.66666666666666663</v>
      </c>
      <c r="D439" s="43" t="s">
        <v>580</v>
      </c>
      <c r="E439" s="11" t="s">
        <v>73</v>
      </c>
      <c r="F439" s="43" t="s">
        <v>1283</v>
      </c>
      <c r="G439" s="43" t="s">
        <v>163</v>
      </c>
      <c r="H439" s="26" t="s">
        <v>49</v>
      </c>
      <c r="I439" s="26" t="s">
        <v>50</v>
      </c>
      <c r="J439" s="33" t="s">
        <v>92</v>
      </c>
      <c r="K439" s="33" t="s">
        <v>1126</v>
      </c>
      <c r="L439" s="33"/>
      <c r="M439" s="33" t="s">
        <v>1318</v>
      </c>
      <c r="N439" s="43"/>
      <c r="O439" s="33"/>
      <c r="P439" s="33"/>
      <c r="Q439" s="44" t="s">
        <v>1309</v>
      </c>
      <c r="R439" s="44" t="s">
        <v>1317</v>
      </c>
      <c r="S439" s="43" t="s">
        <v>163</v>
      </c>
      <c r="T439" s="43" t="s">
        <v>40</v>
      </c>
      <c r="U439" s="33" t="s">
        <v>884</v>
      </c>
      <c r="V439" s="33" t="s">
        <v>40</v>
      </c>
      <c r="W439" s="33" t="s">
        <v>40</v>
      </c>
      <c r="X439" s="53" t="s">
        <v>1543</v>
      </c>
      <c r="Y439" s="43" t="s">
        <v>648</v>
      </c>
      <c r="Z439" s="33" t="s">
        <v>72</v>
      </c>
      <c r="AA439" s="33">
        <v>8</v>
      </c>
      <c r="AB439" s="33">
        <v>0</v>
      </c>
      <c r="AC439" s="32">
        <v>67000</v>
      </c>
      <c r="AD439" s="12">
        <f t="shared" si="41"/>
        <v>22333.333333333332</v>
      </c>
      <c r="AE439" s="12">
        <v>0</v>
      </c>
      <c r="AF439" s="44" t="s">
        <v>1602</v>
      </c>
    </row>
    <row r="440" spans="1:32" ht="14.4" x14ac:dyDescent="0.25">
      <c r="A440" s="8">
        <v>439</v>
      </c>
      <c r="B440" s="60">
        <v>46119</v>
      </c>
      <c r="C440" s="35">
        <v>0.66666666666666663</v>
      </c>
      <c r="D440" s="43" t="s">
        <v>580</v>
      </c>
      <c r="E440" s="11" t="s">
        <v>73</v>
      </c>
      <c r="F440" s="43" t="s">
        <v>1283</v>
      </c>
      <c r="G440" s="43" t="s">
        <v>163</v>
      </c>
      <c r="H440" s="26" t="s">
        <v>49</v>
      </c>
      <c r="I440" s="26" t="s">
        <v>50</v>
      </c>
      <c r="J440" s="33" t="s">
        <v>214</v>
      </c>
      <c r="K440" s="33" t="s">
        <v>1631</v>
      </c>
      <c r="L440" s="33"/>
      <c r="M440" s="33" t="s">
        <v>983</v>
      </c>
      <c r="N440" s="33"/>
      <c r="O440" s="33"/>
      <c r="P440" s="33"/>
      <c r="Q440" s="44" t="s">
        <v>1307</v>
      </c>
      <c r="R440" s="44" t="s">
        <v>1308</v>
      </c>
      <c r="S440" s="43" t="s">
        <v>163</v>
      </c>
      <c r="T440" s="43" t="s">
        <v>40</v>
      </c>
      <c r="U440" s="33" t="s">
        <v>884</v>
      </c>
      <c r="V440" s="17" t="s">
        <v>40</v>
      </c>
      <c r="W440" s="17" t="s">
        <v>40</v>
      </c>
      <c r="X440" s="53" t="s">
        <v>1543</v>
      </c>
      <c r="Y440" s="43" t="s">
        <v>648</v>
      </c>
      <c r="Z440" s="33" t="s">
        <v>72</v>
      </c>
      <c r="AA440" s="33">
        <v>0</v>
      </c>
      <c r="AB440" s="33">
        <v>0</v>
      </c>
      <c r="AC440" s="32">
        <v>67000</v>
      </c>
      <c r="AD440" s="12">
        <f t="shared" si="41"/>
        <v>0</v>
      </c>
      <c r="AE440" s="12">
        <f>AB440/24*AC440</f>
        <v>0</v>
      </c>
      <c r="AF440" s="44"/>
    </row>
    <row r="441" spans="1:32" ht="14.4" x14ac:dyDescent="0.25">
      <c r="A441" s="8">
        <v>440</v>
      </c>
      <c r="B441" s="60">
        <v>46119</v>
      </c>
      <c r="C441" s="35">
        <v>0.66666666666666663</v>
      </c>
      <c r="D441" s="43" t="s">
        <v>580</v>
      </c>
      <c r="E441" s="11" t="s">
        <v>73</v>
      </c>
      <c r="F441" s="43" t="s">
        <v>1283</v>
      </c>
      <c r="G441" s="43" t="s">
        <v>163</v>
      </c>
      <c r="H441" s="26" t="s">
        <v>49</v>
      </c>
      <c r="I441" s="26" t="s">
        <v>50</v>
      </c>
      <c r="J441" s="33" t="s">
        <v>92</v>
      </c>
      <c r="K441" s="33" t="s">
        <v>559</v>
      </c>
      <c r="L441" s="33"/>
      <c r="M441" s="43" t="s">
        <v>1471</v>
      </c>
      <c r="N441" s="33" t="s">
        <v>1381</v>
      </c>
      <c r="O441" s="33">
        <v>20</v>
      </c>
      <c r="P441" s="33">
        <v>23.5</v>
      </c>
      <c r="Q441" s="53" t="s">
        <v>1410</v>
      </c>
      <c r="R441" s="53" t="s">
        <v>1473</v>
      </c>
      <c r="S441" s="43" t="s">
        <v>163</v>
      </c>
      <c r="T441" s="43" t="s">
        <v>40</v>
      </c>
      <c r="U441" s="33" t="s">
        <v>884</v>
      </c>
      <c r="V441" s="33" t="s">
        <v>40</v>
      </c>
      <c r="W441" s="33" t="s">
        <v>80</v>
      </c>
      <c r="X441" s="53" t="s">
        <v>1543</v>
      </c>
      <c r="Y441" s="43" t="s">
        <v>648</v>
      </c>
      <c r="Z441" s="33" t="s">
        <v>72</v>
      </c>
      <c r="AA441" s="33">
        <v>0</v>
      </c>
      <c r="AB441" s="33">
        <v>0</v>
      </c>
      <c r="AC441" s="32">
        <v>67000</v>
      </c>
      <c r="AD441" s="12">
        <f t="shared" si="41"/>
        <v>0</v>
      </c>
      <c r="AE441" s="12">
        <f>AB441/24*AC441</f>
        <v>0</v>
      </c>
      <c r="AF441" s="44"/>
    </row>
    <row r="442" spans="1:32" ht="26.4" x14ac:dyDescent="0.25">
      <c r="A442" s="8">
        <v>441</v>
      </c>
      <c r="B442" s="60">
        <v>46119</v>
      </c>
      <c r="C442" s="35">
        <v>0.8125</v>
      </c>
      <c r="D442" s="43" t="s">
        <v>580</v>
      </c>
      <c r="E442" s="11" t="s">
        <v>73</v>
      </c>
      <c r="F442" s="43" t="s">
        <v>1283</v>
      </c>
      <c r="G442" s="43" t="s">
        <v>163</v>
      </c>
      <c r="H442" s="26" t="s">
        <v>49</v>
      </c>
      <c r="I442" s="26" t="s">
        <v>50</v>
      </c>
      <c r="J442" s="33" t="s">
        <v>110</v>
      </c>
      <c r="K442" s="33" t="s">
        <v>32</v>
      </c>
      <c r="L442" s="33"/>
      <c r="M442" s="43" t="s">
        <v>703</v>
      </c>
      <c r="N442" s="43" t="s">
        <v>912</v>
      </c>
      <c r="O442" s="33">
        <v>360</v>
      </c>
      <c r="P442" s="33">
        <v>385</v>
      </c>
      <c r="Q442" s="53" t="s">
        <v>1579</v>
      </c>
      <c r="R442" s="53" t="s">
        <v>1580</v>
      </c>
      <c r="S442" s="43" t="s">
        <v>163</v>
      </c>
      <c r="T442" s="43" t="s">
        <v>40</v>
      </c>
      <c r="U442" s="33" t="s">
        <v>1582</v>
      </c>
      <c r="V442" s="33" t="s">
        <v>80</v>
      </c>
      <c r="W442" s="33" t="s">
        <v>80</v>
      </c>
      <c r="X442" s="53" t="s">
        <v>1581</v>
      </c>
      <c r="Y442" s="43" t="s">
        <v>648</v>
      </c>
      <c r="Z442" s="33" t="s">
        <v>123</v>
      </c>
      <c r="AA442" s="33">
        <v>0</v>
      </c>
      <c r="AB442" s="33">
        <v>0</v>
      </c>
      <c r="AC442" s="32">
        <v>67000</v>
      </c>
      <c r="AD442" s="12">
        <f t="shared" si="41"/>
        <v>0</v>
      </c>
      <c r="AE442" s="12">
        <v>0</v>
      </c>
      <c r="AF442" s="44"/>
    </row>
    <row r="443" spans="1:32" ht="14.4" x14ac:dyDescent="0.25">
      <c r="A443" s="8">
        <v>442</v>
      </c>
      <c r="B443" s="60">
        <v>46120</v>
      </c>
      <c r="C443" s="35">
        <v>0.50694444444444442</v>
      </c>
      <c r="D443" s="43" t="s">
        <v>616</v>
      </c>
      <c r="E443" s="11" t="s">
        <v>73</v>
      </c>
      <c r="F443" s="43" t="s">
        <v>1401</v>
      </c>
      <c r="G443" s="33" t="s">
        <v>63</v>
      </c>
      <c r="H443" s="26" t="s">
        <v>49</v>
      </c>
      <c r="I443" s="26" t="s">
        <v>50</v>
      </c>
      <c r="J443" s="33" t="s">
        <v>92</v>
      </c>
      <c r="K443" s="33" t="s">
        <v>75</v>
      </c>
      <c r="L443" s="33"/>
      <c r="M443" s="43" t="s">
        <v>1584</v>
      </c>
      <c r="N443" s="33"/>
      <c r="O443" s="33"/>
      <c r="P443" s="33"/>
      <c r="Q443" s="44" t="s">
        <v>1583</v>
      </c>
      <c r="R443" s="44" t="s">
        <v>1586</v>
      </c>
      <c r="S443" s="33" t="s">
        <v>63</v>
      </c>
      <c r="T443" s="43" t="s">
        <v>40</v>
      </c>
      <c r="U443" s="33" t="s">
        <v>884</v>
      </c>
      <c r="V443" s="33" t="s">
        <v>40</v>
      </c>
      <c r="W443" s="43" t="s">
        <v>40</v>
      </c>
      <c r="X443" s="53" t="s">
        <v>1543</v>
      </c>
      <c r="Y443" s="33" t="s">
        <v>632</v>
      </c>
      <c r="Z443" s="33" t="s">
        <v>123</v>
      </c>
      <c r="AA443" s="33">
        <v>0</v>
      </c>
      <c r="AB443" s="33">
        <v>0</v>
      </c>
      <c r="AC443" s="32">
        <v>67000</v>
      </c>
      <c r="AD443" s="12">
        <f t="shared" si="41"/>
        <v>0</v>
      </c>
      <c r="AE443" s="12">
        <f t="shared" ref="AE443" si="50">AB443/24*AC443</f>
        <v>0</v>
      </c>
      <c r="AF443" s="44"/>
    </row>
    <row r="444" spans="1:32" ht="14.4" x14ac:dyDescent="0.25">
      <c r="A444" s="8">
        <v>443</v>
      </c>
      <c r="B444" s="60">
        <v>46120</v>
      </c>
      <c r="C444" s="35">
        <v>0.52638888888888891</v>
      </c>
      <c r="D444" s="43" t="s">
        <v>601</v>
      </c>
      <c r="E444" s="11" t="s">
        <v>73</v>
      </c>
      <c r="F444" s="33" t="s">
        <v>1474</v>
      </c>
      <c r="G444" s="43" t="s">
        <v>28</v>
      </c>
      <c r="H444" s="26" t="s">
        <v>49</v>
      </c>
      <c r="I444" s="26" t="s">
        <v>50</v>
      </c>
      <c r="J444" s="33" t="s">
        <v>92</v>
      </c>
      <c r="K444" s="33" t="s">
        <v>75</v>
      </c>
      <c r="L444" s="33"/>
      <c r="M444" s="43" t="s">
        <v>1584</v>
      </c>
      <c r="N444" s="33"/>
      <c r="O444" s="33"/>
      <c r="P444" s="33"/>
      <c r="Q444" s="44" t="s">
        <v>1585</v>
      </c>
      <c r="R444" s="44" t="s">
        <v>1586</v>
      </c>
      <c r="S444" s="33" t="s">
        <v>28</v>
      </c>
      <c r="T444" s="43" t="s">
        <v>40</v>
      </c>
      <c r="U444" s="33" t="s">
        <v>1565</v>
      </c>
      <c r="V444" s="33" t="s">
        <v>40</v>
      </c>
      <c r="W444" s="43" t="s">
        <v>40</v>
      </c>
      <c r="X444" s="53" t="s">
        <v>1543</v>
      </c>
      <c r="Y444" s="33" t="s">
        <v>632</v>
      </c>
      <c r="Z444" s="33" t="s">
        <v>123</v>
      </c>
      <c r="AA444" s="33">
        <v>0</v>
      </c>
      <c r="AB444" s="33">
        <v>0</v>
      </c>
      <c r="AC444" s="32">
        <v>67000</v>
      </c>
      <c r="AD444" s="12">
        <f t="shared" si="41"/>
        <v>0</v>
      </c>
      <c r="AE444" s="12">
        <f t="shared" ref="AE444" si="51">AB444/24*AC444</f>
        <v>0</v>
      </c>
      <c r="AF444" s="44"/>
    </row>
    <row r="445" spans="1:32" ht="26.4" x14ac:dyDescent="0.25">
      <c r="A445" s="8">
        <v>444</v>
      </c>
      <c r="B445" s="60">
        <v>46120</v>
      </c>
      <c r="C445" s="35">
        <v>0.10416666666666667</v>
      </c>
      <c r="D445" s="43" t="s">
        <v>601</v>
      </c>
      <c r="E445" s="11" t="s">
        <v>73</v>
      </c>
      <c r="F445" s="33" t="s">
        <v>1474</v>
      </c>
      <c r="G445" s="43" t="s">
        <v>28</v>
      </c>
      <c r="H445" s="26" t="s">
        <v>49</v>
      </c>
      <c r="I445" s="26" t="s">
        <v>50</v>
      </c>
      <c r="J445" s="33" t="s">
        <v>214</v>
      </c>
      <c r="K445" s="33" t="s">
        <v>1631</v>
      </c>
      <c r="L445" s="33"/>
      <c r="M445" s="43" t="s">
        <v>1607</v>
      </c>
      <c r="N445" s="33"/>
      <c r="O445" s="33"/>
      <c r="P445" s="33"/>
      <c r="Q445" s="44" t="s">
        <v>1588</v>
      </c>
      <c r="R445" s="44" t="s">
        <v>1587</v>
      </c>
      <c r="S445" s="33" t="s">
        <v>28</v>
      </c>
      <c r="T445" s="43" t="s">
        <v>40</v>
      </c>
      <c r="U445" s="33" t="s">
        <v>1438</v>
      </c>
      <c r="V445" s="17" t="s">
        <v>40</v>
      </c>
      <c r="W445" s="17" t="s">
        <v>40</v>
      </c>
      <c r="X445" s="53" t="s">
        <v>1543</v>
      </c>
      <c r="Y445" s="33" t="s">
        <v>632</v>
      </c>
      <c r="Z445" s="33" t="s">
        <v>123</v>
      </c>
      <c r="AA445" s="33">
        <v>0</v>
      </c>
      <c r="AB445" s="33">
        <v>0</v>
      </c>
      <c r="AC445" s="32">
        <v>67000</v>
      </c>
      <c r="AD445" s="12">
        <f t="shared" si="41"/>
        <v>0</v>
      </c>
      <c r="AE445" s="12">
        <f t="shared" ref="AE445:AE465" si="52">AB445/24*AC445</f>
        <v>0</v>
      </c>
      <c r="AF445" s="44"/>
    </row>
    <row r="446" spans="1:32" ht="26.4" x14ac:dyDescent="0.25">
      <c r="A446" s="8">
        <v>445</v>
      </c>
      <c r="B446" s="60">
        <v>46120</v>
      </c>
      <c r="C446" s="35">
        <v>0.10416666666666667</v>
      </c>
      <c r="D446" s="43" t="s">
        <v>601</v>
      </c>
      <c r="E446" s="11" t="s">
        <v>73</v>
      </c>
      <c r="F446" s="33" t="s">
        <v>1474</v>
      </c>
      <c r="G446" s="43" t="s">
        <v>28</v>
      </c>
      <c r="H446" s="26" t="s">
        <v>49</v>
      </c>
      <c r="I446" s="26" t="s">
        <v>50</v>
      </c>
      <c r="J446" s="33" t="s">
        <v>92</v>
      </c>
      <c r="K446" s="33" t="s">
        <v>75</v>
      </c>
      <c r="L446" s="33"/>
      <c r="M446" s="43" t="s">
        <v>1628</v>
      </c>
      <c r="N446" s="33"/>
      <c r="O446" s="33"/>
      <c r="P446" s="33"/>
      <c r="Q446" s="44" t="s">
        <v>1624</v>
      </c>
      <c r="R446" s="44" t="s">
        <v>1620</v>
      </c>
      <c r="S446" s="33" t="s">
        <v>28</v>
      </c>
      <c r="T446" s="43" t="s">
        <v>40</v>
      </c>
      <c r="U446" s="33" t="s">
        <v>1622</v>
      </c>
      <c r="V446" s="33" t="s">
        <v>40</v>
      </c>
      <c r="W446" s="43" t="s">
        <v>40</v>
      </c>
      <c r="X446" s="53" t="s">
        <v>1621</v>
      </c>
      <c r="Y446" s="33" t="s">
        <v>632</v>
      </c>
      <c r="Z446" s="33" t="s">
        <v>123</v>
      </c>
      <c r="AA446" s="33">
        <v>16.899999999999999</v>
      </c>
      <c r="AB446" s="33">
        <v>0</v>
      </c>
      <c r="AC446" s="32">
        <v>67000</v>
      </c>
      <c r="AD446" s="12">
        <f t="shared" si="41"/>
        <v>47179.166666666664</v>
      </c>
      <c r="AE446" s="12">
        <f t="shared" si="52"/>
        <v>0</v>
      </c>
      <c r="AF446" s="44" t="s">
        <v>1608</v>
      </c>
    </row>
    <row r="447" spans="1:32" ht="26.4" x14ac:dyDescent="0.25">
      <c r="A447" s="8">
        <v>446</v>
      </c>
      <c r="B447" s="60">
        <v>46120</v>
      </c>
      <c r="C447" s="35">
        <v>0.10416666666666667</v>
      </c>
      <c r="D447" s="43" t="s">
        <v>601</v>
      </c>
      <c r="E447" s="11" t="s">
        <v>73</v>
      </c>
      <c r="F447" s="33" t="s">
        <v>1474</v>
      </c>
      <c r="G447" s="43" t="s">
        <v>28</v>
      </c>
      <c r="H447" s="26" t="s">
        <v>49</v>
      </c>
      <c r="I447" s="26" t="s">
        <v>50</v>
      </c>
      <c r="J447" s="33" t="s">
        <v>92</v>
      </c>
      <c r="K447" s="33" t="s">
        <v>1126</v>
      </c>
      <c r="L447" s="33"/>
      <c r="M447" s="43" t="s">
        <v>296</v>
      </c>
      <c r="N447" s="33"/>
      <c r="O447" s="33"/>
      <c r="P447" s="33"/>
      <c r="Q447" s="44" t="s">
        <v>1630</v>
      </c>
      <c r="R447" s="44" t="s">
        <v>1629</v>
      </c>
      <c r="S447" s="33" t="s">
        <v>28</v>
      </c>
      <c r="T447" s="43" t="s">
        <v>40</v>
      </c>
      <c r="U447" s="33" t="s">
        <v>1623</v>
      </c>
      <c r="V447" s="33" t="s">
        <v>40</v>
      </c>
      <c r="W447" s="43" t="s">
        <v>40</v>
      </c>
      <c r="X447" s="53" t="s">
        <v>1543</v>
      </c>
      <c r="Y447" s="33" t="s">
        <v>632</v>
      </c>
      <c r="Z447" s="33" t="s">
        <v>123</v>
      </c>
      <c r="AA447" s="33">
        <v>7.5</v>
      </c>
      <c r="AB447" s="33">
        <v>0</v>
      </c>
      <c r="AC447" s="32">
        <v>67000</v>
      </c>
      <c r="AD447" s="12">
        <f t="shared" si="41"/>
        <v>20937.5</v>
      </c>
      <c r="AE447" s="12">
        <f t="shared" si="52"/>
        <v>0</v>
      </c>
      <c r="AF447" s="44" t="s">
        <v>1626</v>
      </c>
    </row>
    <row r="448" spans="1:32" ht="39.6" x14ac:dyDescent="0.25">
      <c r="A448" s="8">
        <v>447</v>
      </c>
      <c r="B448" s="60">
        <v>46120</v>
      </c>
      <c r="C448" s="35">
        <v>0.10416666666666667</v>
      </c>
      <c r="D448" s="43" t="s">
        <v>601</v>
      </c>
      <c r="E448" s="11" t="s">
        <v>73</v>
      </c>
      <c r="F448" s="33" t="s">
        <v>1474</v>
      </c>
      <c r="G448" s="43" t="s">
        <v>28</v>
      </c>
      <c r="H448" s="26" t="s">
        <v>49</v>
      </c>
      <c r="I448" s="26" t="s">
        <v>50</v>
      </c>
      <c r="J448" s="33" t="s">
        <v>92</v>
      </c>
      <c r="K448" s="33" t="s">
        <v>559</v>
      </c>
      <c r="L448" s="33"/>
      <c r="M448" s="43" t="s">
        <v>863</v>
      </c>
      <c r="N448" s="33"/>
      <c r="O448" s="33"/>
      <c r="P448" s="33"/>
      <c r="Q448" s="44" t="s">
        <v>1627</v>
      </c>
      <c r="R448" s="44" t="s">
        <v>1625</v>
      </c>
      <c r="S448" s="33" t="s">
        <v>28</v>
      </c>
      <c r="T448" s="43" t="s">
        <v>40</v>
      </c>
      <c r="U448" s="33" t="s">
        <v>1622</v>
      </c>
      <c r="V448" s="33" t="s">
        <v>40</v>
      </c>
      <c r="W448" s="43" t="s">
        <v>902</v>
      </c>
      <c r="X448" s="53" t="s">
        <v>1543</v>
      </c>
      <c r="Y448" s="33" t="s">
        <v>632</v>
      </c>
      <c r="Z448" s="33" t="s">
        <v>123</v>
      </c>
      <c r="AA448" s="33">
        <v>0</v>
      </c>
      <c r="AB448" s="33">
        <v>1.5</v>
      </c>
      <c r="AC448" s="32">
        <v>67000</v>
      </c>
      <c r="AD448" s="12">
        <f t="shared" si="41"/>
        <v>0</v>
      </c>
      <c r="AE448" s="12">
        <f t="shared" si="52"/>
        <v>4187.5</v>
      </c>
      <c r="AF448" s="53" t="s">
        <v>1633</v>
      </c>
    </row>
    <row r="449" spans="1:32" ht="26.4" x14ac:dyDescent="0.25">
      <c r="A449" s="8">
        <v>448</v>
      </c>
      <c r="B449" s="60">
        <v>46120</v>
      </c>
      <c r="C449" s="35">
        <v>0.1875</v>
      </c>
      <c r="D449" s="43" t="s">
        <v>616</v>
      </c>
      <c r="E449" s="11" t="s">
        <v>73</v>
      </c>
      <c r="F449" s="43" t="s">
        <v>1401</v>
      </c>
      <c r="G449" s="43" t="s">
        <v>63</v>
      </c>
      <c r="H449" s="26" t="s">
        <v>49</v>
      </c>
      <c r="I449" s="26" t="s">
        <v>50</v>
      </c>
      <c r="J449" s="33" t="s">
        <v>110</v>
      </c>
      <c r="K449" s="33" t="s">
        <v>65</v>
      </c>
      <c r="L449" s="33"/>
      <c r="M449" s="43" t="s">
        <v>703</v>
      </c>
      <c r="N449" s="33"/>
      <c r="O449" s="33"/>
      <c r="P449" s="33"/>
      <c r="Q449" s="53" t="s">
        <v>1589</v>
      </c>
      <c r="R449" s="44" t="s">
        <v>1590</v>
      </c>
      <c r="S449" s="43" t="s">
        <v>63</v>
      </c>
      <c r="T449" s="33" t="s">
        <v>40</v>
      </c>
      <c r="U449" s="33" t="s">
        <v>1591</v>
      </c>
      <c r="V449" s="33" t="s">
        <v>40</v>
      </c>
      <c r="W449" s="33" t="s">
        <v>40</v>
      </c>
      <c r="X449" s="44" t="s">
        <v>1592</v>
      </c>
      <c r="Y449" s="33" t="s">
        <v>632</v>
      </c>
      <c r="Z449" s="33" t="s">
        <v>123</v>
      </c>
      <c r="AA449" s="33">
        <v>0</v>
      </c>
      <c r="AB449" s="33">
        <v>0</v>
      </c>
      <c r="AC449" s="32">
        <v>67000</v>
      </c>
      <c r="AD449" s="12">
        <f t="shared" si="41"/>
        <v>0</v>
      </c>
      <c r="AE449" s="12">
        <f t="shared" si="52"/>
        <v>0</v>
      </c>
      <c r="AF449" s="44"/>
    </row>
    <row r="450" spans="1:32" ht="14.4" x14ac:dyDescent="0.25">
      <c r="A450" s="8">
        <v>449</v>
      </c>
      <c r="B450" s="60">
        <v>46120</v>
      </c>
      <c r="C450" s="35">
        <v>0.29166666666666669</v>
      </c>
      <c r="D450" s="43" t="s">
        <v>580</v>
      </c>
      <c r="E450" s="11" t="s">
        <v>73</v>
      </c>
      <c r="F450" s="43" t="s">
        <v>1283</v>
      </c>
      <c r="G450" s="43" t="s">
        <v>163</v>
      </c>
      <c r="H450" s="26" t="s">
        <v>49</v>
      </c>
      <c r="I450" s="26" t="s">
        <v>50</v>
      </c>
      <c r="J450" s="33" t="s">
        <v>92</v>
      </c>
      <c r="K450" s="33" t="s">
        <v>559</v>
      </c>
      <c r="L450" s="33"/>
      <c r="M450" s="43" t="s">
        <v>1471</v>
      </c>
      <c r="N450" s="33" t="s">
        <v>1381</v>
      </c>
      <c r="O450" s="33">
        <v>20</v>
      </c>
      <c r="P450" s="33">
        <v>23.5</v>
      </c>
      <c r="Q450" s="53" t="s">
        <v>1594</v>
      </c>
      <c r="R450" s="44" t="s">
        <v>1595</v>
      </c>
      <c r="S450" s="43" t="s">
        <v>163</v>
      </c>
      <c r="T450" s="33" t="s">
        <v>40</v>
      </c>
      <c r="U450" s="33" t="s">
        <v>884</v>
      </c>
      <c r="V450" s="33" t="s">
        <v>40</v>
      </c>
      <c r="W450" s="33" t="s">
        <v>902</v>
      </c>
      <c r="X450" s="44" t="s">
        <v>1596</v>
      </c>
      <c r="Y450" s="33" t="s">
        <v>801</v>
      </c>
      <c r="Z450" s="33" t="s">
        <v>72</v>
      </c>
      <c r="AA450" s="33">
        <v>0</v>
      </c>
      <c r="AB450" s="33">
        <v>3.2</v>
      </c>
      <c r="AC450" s="32">
        <v>67000</v>
      </c>
      <c r="AD450" s="12">
        <f>AA450/24*AC450</f>
        <v>0</v>
      </c>
      <c r="AE450" s="12">
        <f t="shared" si="52"/>
        <v>8933.3333333333339</v>
      </c>
      <c r="AF450" s="44" t="s">
        <v>1615</v>
      </c>
    </row>
    <row r="451" spans="1:32" ht="26.4" x14ac:dyDescent="0.25">
      <c r="A451" s="8">
        <v>450</v>
      </c>
      <c r="B451" s="60">
        <v>46121</v>
      </c>
      <c r="C451" s="35">
        <v>9.7222222222222224E-2</v>
      </c>
      <c r="D451" s="43" t="s">
        <v>601</v>
      </c>
      <c r="E451" s="11" t="s">
        <v>73</v>
      </c>
      <c r="F451" s="33" t="s">
        <v>1474</v>
      </c>
      <c r="G451" s="43" t="s">
        <v>28</v>
      </c>
      <c r="H451" s="26" t="s">
        <v>49</v>
      </c>
      <c r="I451" s="26" t="s">
        <v>50</v>
      </c>
      <c r="J451" s="33" t="s">
        <v>110</v>
      </c>
      <c r="K451" s="33" t="s">
        <v>65</v>
      </c>
      <c r="L451" s="33"/>
      <c r="M451" s="43" t="s">
        <v>703</v>
      </c>
      <c r="N451" s="33"/>
      <c r="O451" s="33"/>
      <c r="P451" s="33"/>
      <c r="Q451" s="44" t="s">
        <v>1599</v>
      </c>
      <c r="R451" s="44" t="s">
        <v>1598</v>
      </c>
      <c r="S451" s="43" t="s">
        <v>28</v>
      </c>
      <c r="T451" s="43" t="s">
        <v>40</v>
      </c>
      <c r="U451" s="33" t="s">
        <v>884</v>
      </c>
      <c r="V451" s="33" t="s">
        <v>40</v>
      </c>
      <c r="W451" s="33" t="s">
        <v>40</v>
      </c>
      <c r="X451" s="53" t="s">
        <v>1600</v>
      </c>
      <c r="Y451" s="33" t="s">
        <v>632</v>
      </c>
      <c r="Z451" s="33" t="s">
        <v>123</v>
      </c>
      <c r="AA451" s="33">
        <v>0</v>
      </c>
      <c r="AB451" s="33">
        <v>0</v>
      </c>
      <c r="AC451" s="32">
        <v>67000</v>
      </c>
      <c r="AD451" s="12">
        <f t="shared" si="41"/>
        <v>0</v>
      </c>
      <c r="AE451" s="12">
        <f t="shared" si="52"/>
        <v>0</v>
      </c>
      <c r="AF451" s="44"/>
    </row>
    <row r="452" spans="1:32" ht="26.4" x14ac:dyDescent="0.25">
      <c r="A452" s="8">
        <v>451</v>
      </c>
      <c r="B452" s="60">
        <v>46121</v>
      </c>
      <c r="C452" s="35">
        <v>0.80763888888888891</v>
      </c>
      <c r="D452" s="43"/>
      <c r="E452" s="11"/>
      <c r="F452" s="33"/>
      <c r="G452" s="43"/>
      <c r="H452" s="26" t="s">
        <v>49</v>
      </c>
      <c r="I452" s="26" t="s">
        <v>50</v>
      </c>
      <c r="J452" s="33" t="s">
        <v>214</v>
      </c>
      <c r="K452" s="33" t="s">
        <v>214</v>
      </c>
      <c r="L452" s="33"/>
      <c r="M452" s="43" t="s">
        <v>296</v>
      </c>
      <c r="N452" s="33"/>
      <c r="O452" s="33"/>
      <c r="P452" s="33"/>
      <c r="Q452" s="44" t="s">
        <v>1604</v>
      </c>
      <c r="R452" s="44" t="s">
        <v>1603</v>
      </c>
      <c r="S452" s="43"/>
      <c r="T452" s="43" t="s">
        <v>40</v>
      </c>
      <c r="U452" s="33" t="s">
        <v>1605</v>
      </c>
      <c r="V452" s="17" t="s">
        <v>40</v>
      </c>
      <c r="W452" s="17" t="s">
        <v>40</v>
      </c>
      <c r="X452" s="53"/>
      <c r="Y452" s="33" t="s">
        <v>1606</v>
      </c>
      <c r="Z452" s="33" t="s">
        <v>123</v>
      </c>
      <c r="AA452" s="33">
        <v>0</v>
      </c>
      <c r="AB452" s="33">
        <v>0</v>
      </c>
      <c r="AC452" s="32">
        <v>67000</v>
      </c>
      <c r="AD452" s="12">
        <f t="shared" si="41"/>
        <v>0</v>
      </c>
      <c r="AE452" s="12">
        <f t="shared" si="52"/>
        <v>0</v>
      </c>
      <c r="AF452" s="44"/>
    </row>
    <row r="453" spans="1:32" ht="14.4" x14ac:dyDescent="0.25">
      <c r="A453" s="8">
        <v>452</v>
      </c>
      <c r="B453" s="60">
        <v>46122</v>
      </c>
      <c r="C453" s="35">
        <v>0.4375</v>
      </c>
      <c r="D453" s="43" t="s">
        <v>601</v>
      </c>
      <c r="E453" s="11" t="s">
        <v>73</v>
      </c>
      <c r="F453" s="33" t="s">
        <v>1474</v>
      </c>
      <c r="G453" s="33" t="s">
        <v>63</v>
      </c>
      <c r="H453" s="26" t="s">
        <v>49</v>
      </c>
      <c r="I453" s="26" t="s">
        <v>50</v>
      </c>
      <c r="J453" s="33" t="s">
        <v>92</v>
      </c>
      <c r="K453" s="33" t="s">
        <v>75</v>
      </c>
      <c r="L453" s="33"/>
      <c r="M453" s="33" t="s">
        <v>1617</v>
      </c>
      <c r="N453" s="33" t="s">
        <v>75</v>
      </c>
      <c r="O453" s="33">
        <v>110</v>
      </c>
      <c r="P453" s="33"/>
      <c r="Q453" s="44" t="s">
        <v>1616</v>
      </c>
      <c r="R453" s="44" t="s">
        <v>1618</v>
      </c>
      <c r="S453" s="33" t="s">
        <v>63</v>
      </c>
      <c r="T453" s="33" t="s">
        <v>40</v>
      </c>
      <c r="U453" s="33" t="s">
        <v>1619</v>
      </c>
      <c r="V453" s="33" t="s">
        <v>40</v>
      </c>
      <c r="W453" s="33" t="s">
        <v>40</v>
      </c>
      <c r="X453" s="53" t="s">
        <v>1543</v>
      </c>
      <c r="Y453" s="33" t="s">
        <v>801</v>
      </c>
      <c r="Z453" s="33" t="s">
        <v>72</v>
      </c>
      <c r="AA453" s="33">
        <v>0</v>
      </c>
      <c r="AB453" s="33">
        <v>0</v>
      </c>
      <c r="AC453" s="32">
        <v>67000</v>
      </c>
      <c r="AD453" s="12">
        <f t="shared" si="41"/>
        <v>0</v>
      </c>
      <c r="AE453" s="12">
        <f t="shared" si="52"/>
        <v>0</v>
      </c>
      <c r="AF453" s="44"/>
    </row>
    <row r="454" spans="1:32" ht="26.4" x14ac:dyDescent="0.25">
      <c r="A454" s="8">
        <v>453</v>
      </c>
      <c r="B454" s="60">
        <v>46123</v>
      </c>
      <c r="C454" s="35">
        <v>0.27083333333333331</v>
      </c>
      <c r="D454" s="43" t="s">
        <v>616</v>
      </c>
      <c r="E454" s="11" t="s">
        <v>73</v>
      </c>
      <c r="F454" s="43" t="s">
        <v>1401</v>
      </c>
      <c r="G454" s="43" t="s">
        <v>63</v>
      </c>
      <c r="H454" s="26" t="s">
        <v>49</v>
      </c>
      <c r="I454" s="26" t="s">
        <v>50</v>
      </c>
      <c r="J454" s="33" t="s">
        <v>92</v>
      </c>
      <c r="K454" s="33" t="s">
        <v>75</v>
      </c>
      <c r="L454" s="33"/>
      <c r="M454" s="33" t="s">
        <v>51</v>
      </c>
      <c r="N454" s="33" t="s">
        <v>75</v>
      </c>
      <c r="O454" s="33">
        <v>80</v>
      </c>
      <c r="P454" s="33">
        <v>30</v>
      </c>
      <c r="Q454" s="44" t="s">
        <v>1635</v>
      </c>
      <c r="R454" s="44" t="s">
        <v>1634</v>
      </c>
      <c r="S454" s="33" t="s">
        <v>63</v>
      </c>
      <c r="T454" s="33" t="s">
        <v>40</v>
      </c>
      <c r="U454" s="33" t="s">
        <v>1591</v>
      </c>
      <c r="V454" s="33" t="s">
        <v>40</v>
      </c>
      <c r="W454" s="33" t="s">
        <v>40</v>
      </c>
      <c r="X454" s="53" t="s">
        <v>1543</v>
      </c>
      <c r="Y454" s="33" t="s">
        <v>801</v>
      </c>
      <c r="Z454" s="33" t="s">
        <v>72</v>
      </c>
      <c r="AA454" s="33">
        <v>87.1</v>
      </c>
      <c r="AB454" s="33">
        <v>0</v>
      </c>
      <c r="AC454" s="32">
        <v>67000</v>
      </c>
      <c r="AD454" s="12">
        <f t="shared" si="41"/>
        <v>243154.16666666666</v>
      </c>
      <c r="AE454" s="12">
        <f t="shared" si="52"/>
        <v>0</v>
      </c>
      <c r="AF454" s="44" t="s">
        <v>1651</v>
      </c>
    </row>
    <row r="455" spans="1:32" ht="26.4" x14ac:dyDescent="0.25">
      <c r="A455" s="8">
        <v>454</v>
      </c>
      <c r="B455" s="60">
        <v>46123</v>
      </c>
      <c r="C455" s="35">
        <v>0.65972222222222221</v>
      </c>
      <c r="D455" s="43" t="s">
        <v>601</v>
      </c>
      <c r="E455" s="11" t="s">
        <v>73</v>
      </c>
      <c r="F455" s="33" t="s">
        <v>1474</v>
      </c>
      <c r="G455" s="33" t="s">
        <v>63</v>
      </c>
      <c r="H455" s="26" t="s">
        <v>49</v>
      </c>
      <c r="I455" s="26" t="s">
        <v>50</v>
      </c>
      <c r="J455" s="33" t="s">
        <v>92</v>
      </c>
      <c r="K455" s="33" t="s">
        <v>559</v>
      </c>
      <c r="L455" s="33"/>
      <c r="M455" s="33"/>
      <c r="N455" s="33"/>
      <c r="O455" s="33"/>
      <c r="P455" s="33"/>
      <c r="Q455" s="44" t="s">
        <v>1636</v>
      </c>
      <c r="R455" s="44" t="s">
        <v>1637</v>
      </c>
      <c r="S455" s="33" t="s">
        <v>63</v>
      </c>
      <c r="T455" s="33" t="s">
        <v>40</v>
      </c>
      <c r="U455" s="33" t="s">
        <v>884</v>
      </c>
      <c r="V455" s="33" t="s">
        <v>40</v>
      </c>
      <c r="W455" s="33" t="s">
        <v>80</v>
      </c>
      <c r="X455" s="53" t="s">
        <v>1386</v>
      </c>
      <c r="Y455" s="43" t="s">
        <v>648</v>
      </c>
      <c r="Z455" s="33" t="s">
        <v>72</v>
      </c>
      <c r="AA455" s="33">
        <v>0</v>
      </c>
      <c r="AB455" s="33">
        <v>0</v>
      </c>
      <c r="AC455" s="32">
        <v>67000</v>
      </c>
      <c r="AD455" s="12">
        <f t="shared" si="41"/>
        <v>0</v>
      </c>
      <c r="AE455" s="12">
        <f t="shared" si="52"/>
        <v>0</v>
      </c>
      <c r="AF455" s="44"/>
    </row>
    <row r="456" spans="1:32" ht="14.4" x14ac:dyDescent="0.25">
      <c r="A456" s="8">
        <v>455</v>
      </c>
      <c r="B456" s="60">
        <v>46123</v>
      </c>
      <c r="C456" s="35">
        <v>0.6875</v>
      </c>
      <c r="D456" s="43" t="s">
        <v>616</v>
      </c>
      <c r="E456" s="11" t="s">
        <v>73</v>
      </c>
      <c r="F456" s="43" t="s">
        <v>1401</v>
      </c>
      <c r="G456" s="33" t="s">
        <v>63</v>
      </c>
      <c r="H456" s="26" t="s">
        <v>49</v>
      </c>
      <c r="I456" s="26" t="s">
        <v>50</v>
      </c>
      <c r="J456" s="33" t="s">
        <v>92</v>
      </c>
      <c r="K456" s="33" t="s">
        <v>1126</v>
      </c>
      <c r="L456" s="33"/>
      <c r="M456" s="33" t="s">
        <v>1318</v>
      </c>
      <c r="N456" s="43"/>
      <c r="O456" s="33"/>
      <c r="P456" s="33"/>
      <c r="Q456" s="44" t="s">
        <v>1640</v>
      </c>
      <c r="R456" s="44" t="s">
        <v>1317</v>
      </c>
      <c r="S456" s="33" t="s">
        <v>63</v>
      </c>
      <c r="T456" s="33" t="s">
        <v>40</v>
      </c>
      <c r="U456" s="33" t="s">
        <v>884</v>
      </c>
      <c r="V456" s="33" t="s">
        <v>40</v>
      </c>
      <c r="W456" s="33" t="s">
        <v>40</v>
      </c>
      <c r="X456" s="53" t="s">
        <v>1543</v>
      </c>
      <c r="Y456" s="43" t="s">
        <v>648</v>
      </c>
      <c r="Z456" s="33" t="s">
        <v>72</v>
      </c>
      <c r="AA456" s="33">
        <v>8</v>
      </c>
      <c r="AB456" s="33">
        <v>0</v>
      </c>
      <c r="AC456" s="32">
        <v>67000</v>
      </c>
      <c r="AD456" s="12">
        <f t="shared" si="41"/>
        <v>22333.333333333332</v>
      </c>
      <c r="AE456" s="12">
        <f t="shared" si="52"/>
        <v>0</v>
      </c>
      <c r="AF456" s="44" t="s">
        <v>1641</v>
      </c>
    </row>
    <row r="457" spans="1:32" ht="14.4" x14ac:dyDescent="0.25">
      <c r="A457" s="8">
        <v>456</v>
      </c>
      <c r="B457" s="60">
        <v>46123</v>
      </c>
      <c r="C457" s="35">
        <v>0.6875</v>
      </c>
      <c r="D457" s="43" t="s">
        <v>616</v>
      </c>
      <c r="E457" s="11" t="s">
        <v>73</v>
      </c>
      <c r="F457" s="43" t="s">
        <v>1401</v>
      </c>
      <c r="G457" s="33" t="s">
        <v>63</v>
      </c>
      <c r="H457" s="26" t="s">
        <v>49</v>
      </c>
      <c r="I457" s="26" t="s">
        <v>50</v>
      </c>
      <c r="J457" s="33" t="s">
        <v>214</v>
      </c>
      <c r="K457" s="33" t="s">
        <v>1631</v>
      </c>
      <c r="L457" s="33"/>
      <c r="M457" s="33" t="s">
        <v>983</v>
      </c>
      <c r="N457" s="33"/>
      <c r="O457" s="33"/>
      <c r="P457" s="33"/>
      <c r="Q457" s="44" t="s">
        <v>1307</v>
      </c>
      <c r="R457" s="44" t="s">
        <v>1308</v>
      </c>
      <c r="S457" s="33" t="s">
        <v>63</v>
      </c>
      <c r="T457" s="33" t="s">
        <v>40</v>
      </c>
      <c r="U457" s="33" t="s">
        <v>884</v>
      </c>
      <c r="V457" s="17" t="s">
        <v>40</v>
      </c>
      <c r="W457" s="17" t="s">
        <v>40</v>
      </c>
      <c r="X457" s="53" t="s">
        <v>1543</v>
      </c>
      <c r="Y457" s="43" t="s">
        <v>648</v>
      </c>
      <c r="Z457" s="33" t="s">
        <v>72</v>
      </c>
      <c r="AA457" s="33">
        <v>0</v>
      </c>
      <c r="AB457" s="33">
        <v>0</v>
      </c>
      <c r="AC457" s="32">
        <v>67000</v>
      </c>
      <c r="AD457" s="12">
        <f t="shared" si="41"/>
        <v>0</v>
      </c>
      <c r="AE457" s="12">
        <f t="shared" si="52"/>
        <v>0</v>
      </c>
      <c r="AF457" s="44"/>
    </row>
    <row r="458" spans="1:32" ht="14.4" x14ac:dyDescent="0.25">
      <c r="A458" s="8">
        <v>457</v>
      </c>
      <c r="B458" s="60">
        <v>46123</v>
      </c>
      <c r="C458" s="35">
        <v>0.6875</v>
      </c>
      <c r="D458" s="43" t="s">
        <v>616</v>
      </c>
      <c r="E458" s="11" t="s">
        <v>73</v>
      </c>
      <c r="F458" s="43" t="s">
        <v>1401</v>
      </c>
      <c r="G458" s="33" t="s">
        <v>63</v>
      </c>
      <c r="H458" s="26" t="s">
        <v>49</v>
      </c>
      <c r="I458" s="26" t="s">
        <v>50</v>
      </c>
      <c r="J458" s="33" t="s">
        <v>92</v>
      </c>
      <c r="K458" s="33" t="s">
        <v>559</v>
      </c>
      <c r="L458" s="33"/>
      <c r="M458" s="43" t="s">
        <v>1471</v>
      </c>
      <c r="N458" s="33" t="s">
        <v>1381</v>
      </c>
      <c r="O458" s="33">
        <v>20</v>
      </c>
      <c r="P458" s="33">
        <v>23.5</v>
      </c>
      <c r="Q458" s="53" t="s">
        <v>1638</v>
      </c>
      <c r="R458" s="53" t="s">
        <v>1639</v>
      </c>
      <c r="S458" s="33" t="s">
        <v>63</v>
      </c>
      <c r="T458" s="33" t="s">
        <v>40</v>
      </c>
      <c r="U458" s="33" t="s">
        <v>884</v>
      </c>
      <c r="V458" s="33" t="s">
        <v>40</v>
      </c>
      <c r="W458" s="33" t="s">
        <v>902</v>
      </c>
      <c r="X458" s="53" t="s">
        <v>1543</v>
      </c>
      <c r="Y458" s="43" t="s">
        <v>648</v>
      </c>
      <c r="Z458" s="33" t="s">
        <v>72</v>
      </c>
      <c r="AA458" s="33">
        <v>0</v>
      </c>
      <c r="AB458" s="33">
        <v>2.4</v>
      </c>
      <c r="AC458" s="32">
        <v>67000</v>
      </c>
      <c r="AD458" s="12">
        <f t="shared" si="41"/>
        <v>0</v>
      </c>
      <c r="AE458" s="12">
        <f t="shared" si="52"/>
        <v>6699.9999999999991</v>
      </c>
      <c r="AF458" s="44" t="s">
        <v>1673</v>
      </c>
    </row>
    <row r="459" spans="1:32" ht="14.4" x14ac:dyDescent="0.25">
      <c r="A459" s="8">
        <v>458</v>
      </c>
      <c r="B459" s="60">
        <v>46124</v>
      </c>
      <c r="C459" s="35">
        <v>0.2013888888888889</v>
      </c>
      <c r="D459" s="43" t="s">
        <v>601</v>
      </c>
      <c r="E459" s="11" t="s">
        <v>73</v>
      </c>
      <c r="F459" s="33" t="s">
        <v>1474</v>
      </c>
      <c r="G459" s="33" t="s">
        <v>63</v>
      </c>
      <c r="H459" s="26" t="s">
        <v>49</v>
      </c>
      <c r="I459" s="26" t="s">
        <v>50</v>
      </c>
      <c r="J459" s="33" t="s">
        <v>92</v>
      </c>
      <c r="K459" s="33" t="s">
        <v>559</v>
      </c>
      <c r="L459" s="33"/>
      <c r="M459" s="33" t="s">
        <v>1650</v>
      </c>
      <c r="N459" s="33" t="s">
        <v>1071</v>
      </c>
      <c r="O459" s="33">
        <v>4</v>
      </c>
      <c r="P459" s="33">
        <v>5.81</v>
      </c>
      <c r="Q459" s="44" t="s">
        <v>1642</v>
      </c>
      <c r="R459" s="44" t="s">
        <v>1643</v>
      </c>
      <c r="S459" s="33" t="s">
        <v>63</v>
      </c>
      <c r="T459" s="33" t="s">
        <v>40</v>
      </c>
      <c r="U459" s="33" t="s">
        <v>1648</v>
      </c>
      <c r="V459" s="33" t="s">
        <v>462</v>
      </c>
      <c r="W459" s="33" t="s">
        <v>462</v>
      </c>
      <c r="X459" s="53" t="s">
        <v>1649</v>
      </c>
      <c r="Y459" s="43" t="s">
        <v>641</v>
      </c>
      <c r="Z459" s="33" t="s">
        <v>123</v>
      </c>
      <c r="AA459" s="33">
        <v>0</v>
      </c>
      <c r="AB459" s="33">
        <v>0</v>
      </c>
      <c r="AC459" s="32">
        <v>67000</v>
      </c>
      <c r="AD459" s="12">
        <f t="shared" si="41"/>
        <v>0</v>
      </c>
      <c r="AE459" s="12">
        <f t="shared" si="52"/>
        <v>0</v>
      </c>
      <c r="AF459" s="44" t="s">
        <v>1644</v>
      </c>
    </row>
    <row r="460" spans="1:32" ht="26.4" x14ac:dyDescent="0.25">
      <c r="A460" s="8">
        <v>459</v>
      </c>
      <c r="B460" s="60">
        <v>46124</v>
      </c>
      <c r="C460" s="35">
        <v>0.22569444444444445</v>
      </c>
      <c r="D460" s="43" t="s">
        <v>616</v>
      </c>
      <c r="E460" s="11" t="s">
        <v>73</v>
      </c>
      <c r="F460" s="43" t="s">
        <v>1401</v>
      </c>
      <c r="G460" s="33" t="s">
        <v>63</v>
      </c>
      <c r="H460" s="26" t="s">
        <v>49</v>
      </c>
      <c r="I460" s="26" t="s">
        <v>50</v>
      </c>
      <c r="J460" s="33" t="s">
        <v>110</v>
      </c>
      <c r="K460" s="33" t="s">
        <v>32</v>
      </c>
      <c r="L460" s="33"/>
      <c r="M460" s="33" t="s">
        <v>1652</v>
      </c>
      <c r="N460" s="33" t="s">
        <v>400</v>
      </c>
      <c r="O460" s="33">
        <v>355</v>
      </c>
      <c r="P460" s="33">
        <v>401</v>
      </c>
      <c r="Q460" s="53" t="s">
        <v>1645</v>
      </c>
      <c r="R460" s="53" t="s">
        <v>1646</v>
      </c>
      <c r="S460" s="33" t="s">
        <v>63</v>
      </c>
      <c r="T460" s="33" t="s">
        <v>40</v>
      </c>
      <c r="U460" s="33" t="s">
        <v>1647</v>
      </c>
      <c r="V460" s="33" t="s">
        <v>40</v>
      </c>
      <c r="W460" s="33" t="s">
        <v>40</v>
      </c>
      <c r="X460" s="53" t="s">
        <v>1543</v>
      </c>
      <c r="Y460" s="43" t="s">
        <v>641</v>
      </c>
      <c r="Z460" s="33" t="s">
        <v>123</v>
      </c>
      <c r="AA460" s="33">
        <v>0</v>
      </c>
      <c r="AB460" s="33">
        <v>0</v>
      </c>
      <c r="AC460" s="32">
        <v>67000</v>
      </c>
      <c r="AD460" s="12">
        <f t="shared" ref="AD460" si="53">AA460/24*AC460</f>
        <v>0</v>
      </c>
      <c r="AE460" s="12">
        <f t="shared" ref="AE460" si="54">AB460/24*AC460</f>
        <v>0</v>
      </c>
      <c r="AF460" s="44"/>
    </row>
    <row r="461" spans="1:32" ht="26.4" x14ac:dyDescent="0.25">
      <c r="A461" s="8">
        <v>460</v>
      </c>
      <c r="B461" s="60">
        <v>46124</v>
      </c>
      <c r="C461" s="35">
        <v>0.39583333333333331</v>
      </c>
      <c r="D461" s="43" t="s">
        <v>616</v>
      </c>
      <c r="E461" s="11" t="s">
        <v>73</v>
      </c>
      <c r="F461" s="43" t="s">
        <v>1401</v>
      </c>
      <c r="G461" s="33" t="s">
        <v>63</v>
      </c>
      <c r="H461" s="26" t="s">
        <v>49</v>
      </c>
      <c r="I461" s="26" t="s">
        <v>50</v>
      </c>
      <c r="J461" s="33" t="s">
        <v>110</v>
      </c>
      <c r="K461" s="33" t="s">
        <v>32</v>
      </c>
      <c r="L461" s="33"/>
      <c r="M461" s="33" t="s">
        <v>1652</v>
      </c>
      <c r="N461" s="33" t="s">
        <v>912</v>
      </c>
      <c r="O461" s="33">
        <v>330</v>
      </c>
      <c r="P461" s="33">
        <v>360</v>
      </c>
      <c r="Q461" s="44" t="s">
        <v>1653</v>
      </c>
      <c r="R461" s="44" t="s">
        <v>1654</v>
      </c>
      <c r="S461" s="33" t="s">
        <v>63</v>
      </c>
      <c r="T461" s="33" t="s">
        <v>40</v>
      </c>
      <c r="U461" s="33" t="s">
        <v>884</v>
      </c>
      <c r="V461" s="33" t="s">
        <v>40</v>
      </c>
      <c r="W461" s="33" t="s">
        <v>40</v>
      </c>
      <c r="X461" s="53" t="s">
        <v>1543</v>
      </c>
      <c r="Y461" s="33" t="s">
        <v>801</v>
      </c>
      <c r="Z461" s="33" t="s">
        <v>72</v>
      </c>
      <c r="AA461" s="33">
        <v>0</v>
      </c>
      <c r="AB461" s="33">
        <v>0</v>
      </c>
      <c r="AC461" s="32">
        <v>67000</v>
      </c>
      <c r="AD461" s="12">
        <f t="shared" si="41"/>
        <v>0</v>
      </c>
      <c r="AE461" s="12">
        <f t="shared" si="52"/>
        <v>0</v>
      </c>
      <c r="AF461" s="44"/>
    </row>
    <row r="462" spans="1:32" ht="14.4" x14ac:dyDescent="0.25">
      <c r="A462" s="8">
        <v>461</v>
      </c>
      <c r="B462" s="60">
        <v>46124</v>
      </c>
      <c r="C462" s="35">
        <v>0.44791666666666669</v>
      </c>
      <c r="D462" s="43" t="s">
        <v>601</v>
      </c>
      <c r="E462" s="11" t="s">
        <v>73</v>
      </c>
      <c r="F462" s="33" t="s">
        <v>1474</v>
      </c>
      <c r="G462" s="33" t="s">
        <v>63</v>
      </c>
      <c r="H462" s="26" t="s">
        <v>49</v>
      </c>
      <c r="I462" s="26" t="s">
        <v>50</v>
      </c>
      <c r="J462" s="33" t="s">
        <v>92</v>
      </c>
      <c r="K462" s="33" t="s">
        <v>559</v>
      </c>
      <c r="L462" s="33"/>
      <c r="M462" s="43" t="s">
        <v>1412</v>
      </c>
      <c r="N462" s="33" t="s">
        <v>1071</v>
      </c>
      <c r="O462" s="33">
        <v>4</v>
      </c>
      <c r="P462" s="33">
        <v>6.3</v>
      </c>
      <c r="Q462" s="44" t="s">
        <v>1655</v>
      </c>
      <c r="R462" s="44" t="s">
        <v>1656</v>
      </c>
      <c r="S462" s="33" t="s">
        <v>63</v>
      </c>
      <c r="T462" s="33" t="s">
        <v>40</v>
      </c>
      <c r="U462" s="33" t="s">
        <v>884</v>
      </c>
      <c r="V462" s="33" t="s">
        <v>40</v>
      </c>
      <c r="W462" s="33" t="s">
        <v>40</v>
      </c>
      <c r="X462" s="44" t="s">
        <v>1657</v>
      </c>
      <c r="Y462" s="33" t="s">
        <v>801</v>
      </c>
      <c r="Z462" s="33" t="s">
        <v>72</v>
      </c>
      <c r="AA462" s="33">
        <v>0</v>
      </c>
      <c r="AB462" s="33">
        <v>0</v>
      </c>
      <c r="AC462" s="32">
        <v>67000</v>
      </c>
      <c r="AD462" s="12">
        <f t="shared" si="41"/>
        <v>0</v>
      </c>
      <c r="AE462" s="12">
        <f t="shared" si="52"/>
        <v>0</v>
      </c>
      <c r="AF462" s="44"/>
    </row>
    <row r="463" spans="1:32" ht="26.4" x14ac:dyDescent="0.25">
      <c r="A463" s="8">
        <v>462</v>
      </c>
      <c r="B463" s="60">
        <v>46124</v>
      </c>
      <c r="C463" s="35">
        <v>0.83333333333333337</v>
      </c>
      <c r="D463" s="43" t="s">
        <v>601</v>
      </c>
      <c r="E463" s="11" t="s">
        <v>73</v>
      </c>
      <c r="F463" s="33" t="s">
        <v>1474</v>
      </c>
      <c r="G463" s="33" t="s">
        <v>63</v>
      </c>
      <c r="H463" s="26" t="s">
        <v>49</v>
      </c>
      <c r="I463" s="26" t="s">
        <v>50</v>
      </c>
      <c r="J463" s="33" t="s">
        <v>110</v>
      </c>
      <c r="K463" s="33" t="s">
        <v>65</v>
      </c>
      <c r="L463" s="33"/>
      <c r="M463" s="33" t="s">
        <v>1658</v>
      </c>
      <c r="N463" s="33" t="s">
        <v>391</v>
      </c>
      <c r="O463" s="33" t="s">
        <v>1659</v>
      </c>
      <c r="P463" s="33">
        <v>25</v>
      </c>
      <c r="Q463" s="44" t="s">
        <v>1660</v>
      </c>
      <c r="R463" s="44" t="s">
        <v>1661</v>
      </c>
      <c r="S463" s="33" t="s">
        <v>63</v>
      </c>
      <c r="T463" s="33" t="s">
        <v>40</v>
      </c>
      <c r="U463" s="33" t="s">
        <v>1662</v>
      </c>
      <c r="V463" s="33" t="s">
        <v>40</v>
      </c>
      <c r="W463" s="33" t="s">
        <v>40</v>
      </c>
      <c r="X463" s="44" t="s">
        <v>1663</v>
      </c>
      <c r="Y463" s="33" t="s">
        <v>632</v>
      </c>
      <c r="Z463" s="33" t="s">
        <v>123</v>
      </c>
      <c r="AA463" s="33">
        <v>0</v>
      </c>
      <c r="AB463" s="33">
        <v>0</v>
      </c>
      <c r="AC463" s="32">
        <v>67000</v>
      </c>
      <c r="AD463" s="12">
        <f t="shared" si="41"/>
        <v>0</v>
      </c>
      <c r="AE463" s="12">
        <f t="shared" si="52"/>
        <v>0</v>
      </c>
      <c r="AF463" s="44"/>
    </row>
    <row r="464" spans="1:32" ht="26.4" x14ac:dyDescent="0.25">
      <c r="A464" s="8">
        <v>463</v>
      </c>
      <c r="B464" s="60">
        <v>46124</v>
      </c>
      <c r="C464" s="35">
        <v>0.88194444444444442</v>
      </c>
      <c r="D464" s="43" t="s">
        <v>601</v>
      </c>
      <c r="E464" s="11" t="s">
        <v>73</v>
      </c>
      <c r="F464" s="33" t="s">
        <v>1474</v>
      </c>
      <c r="G464" s="33" t="s">
        <v>63</v>
      </c>
      <c r="H464" s="26" t="s">
        <v>49</v>
      </c>
      <c r="I464" s="26" t="s">
        <v>50</v>
      </c>
      <c r="J464" s="33" t="s">
        <v>92</v>
      </c>
      <c r="K464" s="33" t="s">
        <v>75</v>
      </c>
      <c r="L464" s="33"/>
      <c r="M464" s="33" t="s">
        <v>1562</v>
      </c>
      <c r="N464" s="33" t="s">
        <v>75</v>
      </c>
      <c r="O464" s="33">
        <v>95</v>
      </c>
      <c r="P464" s="33">
        <v>150</v>
      </c>
      <c r="Q464" s="44" t="s">
        <v>1666</v>
      </c>
      <c r="R464" s="44" t="s">
        <v>1664</v>
      </c>
      <c r="S464" s="33" t="s">
        <v>63</v>
      </c>
      <c r="T464" s="33" t="s">
        <v>40</v>
      </c>
      <c r="U464" s="33" t="s">
        <v>1665</v>
      </c>
      <c r="V464" s="33" t="s">
        <v>40</v>
      </c>
      <c r="W464" s="33" t="s">
        <v>462</v>
      </c>
      <c r="X464" s="44" t="s">
        <v>1416</v>
      </c>
      <c r="Y464" s="33" t="s">
        <v>632</v>
      </c>
      <c r="Z464" s="33" t="s">
        <v>123</v>
      </c>
      <c r="AA464" s="33">
        <v>62.9</v>
      </c>
      <c r="AB464" s="33">
        <v>0</v>
      </c>
      <c r="AC464" s="32">
        <v>67000</v>
      </c>
      <c r="AD464" s="12">
        <f t="shared" si="41"/>
        <v>175595.83333333331</v>
      </c>
      <c r="AE464" s="12">
        <f t="shared" si="52"/>
        <v>0</v>
      </c>
      <c r="AF464" s="44" t="s">
        <v>1687</v>
      </c>
    </row>
    <row r="465" spans="1:32" ht="14.4" x14ac:dyDescent="0.25">
      <c r="A465" s="8">
        <v>464</v>
      </c>
      <c r="B465" s="60">
        <v>46125</v>
      </c>
      <c r="C465" s="35">
        <v>0.30555555555555558</v>
      </c>
      <c r="D465" s="43" t="s">
        <v>601</v>
      </c>
      <c r="E465" s="11" t="s">
        <v>73</v>
      </c>
      <c r="F465" s="33" t="s">
        <v>1474</v>
      </c>
      <c r="G465" s="33" t="s">
        <v>63</v>
      </c>
      <c r="H465" s="26" t="s">
        <v>49</v>
      </c>
      <c r="I465" s="26" t="s">
        <v>50</v>
      </c>
      <c r="J465" s="33" t="s">
        <v>92</v>
      </c>
      <c r="K465" s="33" t="s">
        <v>559</v>
      </c>
      <c r="L465" s="33"/>
      <c r="M465" s="43" t="s">
        <v>1412</v>
      </c>
      <c r="N465" s="33" t="s">
        <v>1071</v>
      </c>
      <c r="O465" s="33">
        <v>4</v>
      </c>
      <c r="P465" s="33">
        <v>5.4</v>
      </c>
      <c r="Q465" s="44" t="s">
        <v>1667</v>
      </c>
      <c r="R465" s="44" t="s">
        <v>1656</v>
      </c>
      <c r="S465" s="33" t="s">
        <v>63</v>
      </c>
      <c r="T465" s="33" t="s">
        <v>40</v>
      </c>
      <c r="U465" s="33" t="s">
        <v>884</v>
      </c>
      <c r="V465" s="33" t="s">
        <v>40</v>
      </c>
      <c r="W465" s="33" t="s">
        <v>462</v>
      </c>
      <c r="X465" s="44" t="s">
        <v>1386</v>
      </c>
      <c r="Y465" s="33" t="s">
        <v>801</v>
      </c>
      <c r="Z465" s="33" t="s">
        <v>72</v>
      </c>
      <c r="AA465" s="33">
        <v>0</v>
      </c>
      <c r="AB465" s="33">
        <v>0</v>
      </c>
      <c r="AC465" s="32">
        <v>67000</v>
      </c>
      <c r="AD465" s="12">
        <f t="shared" si="41"/>
        <v>0</v>
      </c>
      <c r="AE465" s="12">
        <f t="shared" si="52"/>
        <v>0</v>
      </c>
      <c r="AF465" s="44"/>
    </row>
    <row r="466" spans="1:32" ht="14.4" x14ac:dyDescent="0.25">
      <c r="A466" s="8">
        <v>465</v>
      </c>
      <c r="B466" s="60">
        <v>46125</v>
      </c>
      <c r="C466" s="35">
        <v>0.3125</v>
      </c>
      <c r="D466" s="43" t="s">
        <v>601</v>
      </c>
      <c r="E466" s="11" t="s">
        <v>73</v>
      </c>
      <c r="F466" s="33" t="s">
        <v>1474</v>
      </c>
      <c r="G466" s="33" t="s">
        <v>63</v>
      </c>
      <c r="H466" s="26" t="s">
        <v>49</v>
      </c>
      <c r="I466" s="26" t="s">
        <v>50</v>
      </c>
      <c r="J466" s="33" t="s">
        <v>110</v>
      </c>
      <c r="K466" s="33" t="s">
        <v>65</v>
      </c>
      <c r="L466" s="33"/>
      <c r="M466" s="33" t="s">
        <v>1668</v>
      </c>
      <c r="N466" s="33" t="s">
        <v>1669</v>
      </c>
      <c r="O466" s="33">
        <v>297</v>
      </c>
      <c r="P466" s="33">
        <v>290</v>
      </c>
      <c r="Q466" s="44" t="s">
        <v>1670</v>
      </c>
      <c r="R466" s="44" t="s">
        <v>1671</v>
      </c>
      <c r="S466" s="33"/>
      <c r="T466" s="33" t="s">
        <v>40</v>
      </c>
      <c r="U466" s="33" t="s">
        <v>884</v>
      </c>
      <c r="V466" s="33" t="s">
        <v>40</v>
      </c>
      <c r="W466" s="33" t="s">
        <v>40</v>
      </c>
      <c r="X466" s="44" t="s">
        <v>1672</v>
      </c>
      <c r="Y466" s="33" t="s">
        <v>801</v>
      </c>
      <c r="Z466" s="33" t="s">
        <v>72</v>
      </c>
      <c r="AA466" s="33">
        <v>0</v>
      </c>
      <c r="AB466" s="33">
        <v>0</v>
      </c>
      <c r="AC466" s="32">
        <v>67000</v>
      </c>
      <c r="AD466" s="12">
        <f t="shared" ref="AD466:AD470" si="55">AA466/24*AC466</f>
        <v>0</v>
      </c>
      <c r="AE466" s="12">
        <f t="shared" ref="AE466:AE470" si="56">AB466/24*AC466</f>
        <v>0</v>
      </c>
      <c r="AF466" s="44"/>
    </row>
    <row r="467" spans="1:32" ht="26.4" x14ac:dyDescent="0.25">
      <c r="A467" s="8">
        <v>466</v>
      </c>
      <c r="B467" s="60">
        <v>46125</v>
      </c>
      <c r="C467" s="35">
        <v>0.89583333333333337</v>
      </c>
      <c r="D467" s="43" t="s">
        <v>601</v>
      </c>
      <c r="E467" s="11" t="s">
        <v>73</v>
      </c>
      <c r="F467" s="33" t="s">
        <v>1474</v>
      </c>
      <c r="G467" s="33" t="s">
        <v>63</v>
      </c>
      <c r="H467" s="26" t="s">
        <v>49</v>
      </c>
      <c r="I467" s="26" t="s">
        <v>50</v>
      </c>
      <c r="J467" s="33" t="s">
        <v>92</v>
      </c>
      <c r="K467" s="33" t="s">
        <v>559</v>
      </c>
      <c r="L467" s="33"/>
      <c r="M467" s="33" t="s">
        <v>1674</v>
      </c>
      <c r="N467" s="33"/>
      <c r="O467" s="33"/>
      <c r="P467" s="33"/>
      <c r="Q467" s="44" t="s">
        <v>1676</v>
      </c>
      <c r="R467" s="44" t="s">
        <v>1675</v>
      </c>
      <c r="S467" s="33" t="s">
        <v>63</v>
      </c>
      <c r="T467" s="33" t="s">
        <v>40</v>
      </c>
      <c r="U467" s="33" t="s">
        <v>1665</v>
      </c>
      <c r="V467" s="33" t="s">
        <v>40</v>
      </c>
      <c r="W467" s="33" t="s">
        <v>462</v>
      </c>
      <c r="X467" s="44" t="s">
        <v>1416</v>
      </c>
      <c r="Y467" s="33" t="s">
        <v>632</v>
      </c>
      <c r="Z467" s="33" t="s">
        <v>123</v>
      </c>
      <c r="AA467" s="33">
        <v>0</v>
      </c>
      <c r="AB467" s="33">
        <v>0</v>
      </c>
      <c r="AC467" s="32">
        <v>67000</v>
      </c>
      <c r="AD467" s="12">
        <f t="shared" si="55"/>
        <v>0</v>
      </c>
      <c r="AE467" s="12">
        <f t="shared" si="56"/>
        <v>0</v>
      </c>
      <c r="AF467" s="44"/>
    </row>
    <row r="468" spans="1:32" ht="26.4" x14ac:dyDescent="0.25">
      <c r="A468" s="8">
        <v>467</v>
      </c>
      <c r="B468" s="60">
        <v>46126</v>
      </c>
      <c r="C468" s="35">
        <v>0.33333333333333331</v>
      </c>
      <c r="D468" s="43" t="s">
        <v>585</v>
      </c>
      <c r="E468" s="11" t="s">
        <v>73</v>
      </c>
      <c r="F468" s="33" t="s">
        <v>1129</v>
      </c>
      <c r="G468" s="43" t="s">
        <v>613</v>
      </c>
      <c r="H468" s="26" t="s">
        <v>49</v>
      </c>
      <c r="I468" s="26" t="s">
        <v>50</v>
      </c>
      <c r="J468" s="33" t="s">
        <v>92</v>
      </c>
      <c r="K468" s="33" t="s">
        <v>75</v>
      </c>
      <c r="L468" s="33"/>
      <c r="M468" s="33" t="s">
        <v>1584</v>
      </c>
      <c r="N468" s="33" t="s">
        <v>75</v>
      </c>
      <c r="O468" s="33">
        <v>60</v>
      </c>
      <c r="P468" s="33">
        <v>20</v>
      </c>
      <c r="Q468" s="44" t="s">
        <v>1677</v>
      </c>
      <c r="R468" s="44" t="s">
        <v>1678</v>
      </c>
      <c r="S468" s="33" t="s">
        <v>613</v>
      </c>
      <c r="T468" s="33" t="s">
        <v>40</v>
      </c>
      <c r="U468" s="33" t="s">
        <v>1679</v>
      </c>
      <c r="V468" s="33" t="s">
        <v>40</v>
      </c>
      <c r="W468" s="33" t="s">
        <v>40</v>
      </c>
      <c r="X468" s="44" t="s">
        <v>1680</v>
      </c>
      <c r="Y468" s="43" t="s">
        <v>648</v>
      </c>
      <c r="Z468" s="33" t="s">
        <v>72</v>
      </c>
      <c r="AA468" s="33">
        <v>0</v>
      </c>
      <c r="AB468" s="33">
        <v>0</v>
      </c>
      <c r="AC468" s="32">
        <v>67000</v>
      </c>
      <c r="AD468" s="12">
        <f t="shared" si="55"/>
        <v>0</v>
      </c>
      <c r="AE468" s="12">
        <f t="shared" si="56"/>
        <v>0</v>
      </c>
      <c r="AF468" s="44" t="s">
        <v>1681</v>
      </c>
    </row>
    <row r="469" spans="1:32" ht="14.4" x14ac:dyDescent="0.25">
      <c r="A469" s="8">
        <v>468</v>
      </c>
      <c r="B469" s="60">
        <v>46126</v>
      </c>
      <c r="C469" s="35">
        <v>0.52083333333333337</v>
      </c>
      <c r="D469" s="43" t="s">
        <v>616</v>
      </c>
      <c r="E469" s="11" t="s">
        <v>73</v>
      </c>
      <c r="F469" s="43" t="s">
        <v>1401</v>
      </c>
      <c r="G469" s="33" t="s">
        <v>63</v>
      </c>
      <c r="H469" s="26" t="s">
        <v>49</v>
      </c>
      <c r="I469" s="26" t="s">
        <v>50</v>
      </c>
      <c r="J469" s="33" t="s">
        <v>110</v>
      </c>
      <c r="K469" s="33" t="s">
        <v>32</v>
      </c>
      <c r="L469" s="33"/>
      <c r="M469" s="33" t="s">
        <v>1652</v>
      </c>
      <c r="N469" s="33" t="s">
        <v>912</v>
      </c>
      <c r="O469" s="33">
        <v>320</v>
      </c>
      <c r="P469" s="33">
        <v>380</v>
      </c>
      <c r="Q469" s="44" t="s">
        <v>1682</v>
      </c>
      <c r="R469" s="44" t="s">
        <v>1683</v>
      </c>
      <c r="S469" s="33" t="s">
        <v>63</v>
      </c>
      <c r="T469" s="33" t="s">
        <v>40</v>
      </c>
      <c r="U469" s="33" t="s">
        <v>1679</v>
      </c>
      <c r="V469" s="33" t="s">
        <v>40</v>
      </c>
      <c r="W469" s="33" t="s">
        <v>40</v>
      </c>
      <c r="X469" s="44" t="s">
        <v>1684</v>
      </c>
      <c r="Y469" s="43" t="s">
        <v>648</v>
      </c>
      <c r="Z469" s="33" t="s">
        <v>72</v>
      </c>
      <c r="AA469" s="33">
        <v>0</v>
      </c>
      <c r="AB469" s="33">
        <v>0</v>
      </c>
      <c r="AC469" s="32">
        <v>67000</v>
      </c>
      <c r="AD469" s="12">
        <f t="shared" si="55"/>
        <v>0</v>
      </c>
      <c r="AE469" s="12">
        <f t="shared" si="56"/>
        <v>0</v>
      </c>
      <c r="AF469" s="44"/>
    </row>
    <row r="470" spans="1:32" ht="14.4" x14ac:dyDescent="0.25">
      <c r="A470" s="8">
        <v>469</v>
      </c>
      <c r="B470" s="60">
        <v>46126</v>
      </c>
      <c r="C470" s="35">
        <v>0.6875</v>
      </c>
      <c r="D470" s="43" t="s">
        <v>601</v>
      </c>
      <c r="E470" s="11" t="s">
        <v>73</v>
      </c>
      <c r="F470" s="33" t="s">
        <v>1474</v>
      </c>
      <c r="G470" s="33" t="s">
        <v>63</v>
      </c>
      <c r="H470" s="26" t="s">
        <v>49</v>
      </c>
      <c r="I470" s="26" t="s">
        <v>50</v>
      </c>
      <c r="J470" s="33" t="s">
        <v>92</v>
      </c>
      <c r="K470" s="33" t="s">
        <v>1126</v>
      </c>
      <c r="L470" s="33"/>
      <c r="M470" s="33" t="s">
        <v>1318</v>
      </c>
      <c r="N470" s="43"/>
      <c r="O470" s="33"/>
      <c r="P470" s="33"/>
      <c r="Q470" s="44" t="s">
        <v>1640</v>
      </c>
      <c r="R470" s="44" t="s">
        <v>1317</v>
      </c>
      <c r="S470" s="33" t="s">
        <v>63</v>
      </c>
      <c r="T470" s="33" t="s">
        <v>40</v>
      </c>
      <c r="U470" s="33" t="s">
        <v>884</v>
      </c>
      <c r="V470" s="33" t="s">
        <v>40</v>
      </c>
      <c r="W470" s="33" t="s">
        <v>40</v>
      </c>
      <c r="X470" s="53" t="s">
        <v>1543</v>
      </c>
      <c r="Y470" s="33" t="s">
        <v>632</v>
      </c>
      <c r="Z470" s="33" t="s">
        <v>72</v>
      </c>
      <c r="AA470" s="81">
        <v>8</v>
      </c>
      <c r="AB470" s="33">
        <v>0</v>
      </c>
      <c r="AC470" s="32">
        <v>67000</v>
      </c>
      <c r="AD470" s="12">
        <f t="shared" si="55"/>
        <v>22333.333333333332</v>
      </c>
      <c r="AE470" s="12">
        <f t="shared" si="56"/>
        <v>0</v>
      </c>
      <c r="AF470" s="82" t="s">
        <v>1685</v>
      </c>
    </row>
    <row r="471" spans="1:32" ht="14.4" x14ac:dyDescent="0.25">
      <c r="A471" s="8">
        <v>470</v>
      </c>
      <c r="B471" s="60">
        <v>46126</v>
      </c>
      <c r="C471" s="35">
        <v>0.6875</v>
      </c>
      <c r="D471" s="43" t="s">
        <v>601</v>
      </c>
      <c r="E471" s="11" t="s">
        <v>73</v>
      </c>
      <c r="F471" s="33" t="s">
        <v>1474</v>
      </c>
      <c r="G471" s="33" t="s">
        <v>63</v>
      </c>
      <c r="H471" s="26" t="s">
        <v>49</v>
      </c>
      <c r="I471" s="26" t="s">
        <v>50</v>
      </c>
      <c r="J471" s="33" t="s">
        <v>214</v>
      </c>
      <c r="K471" s="33" t="s">
        <v>1631</v>
      </c>
      <c r="L471" s="33"/>
      <c r="M471" s="33" t="s">
        <v>983</v>
      </c>
      <c r="N471" s="33"/>
      <c r="O471" s="33"/>
      <c r="P471" s="33"/>
      <c r="Q471" s="44" t="s">
        <v>1307</v>
      </c>
      <c r="R471" s="44" t="s">
        <v>1308</v>
      </c>
      <c r="S471" s="33" t="s">
        <v>63</v>
      </c>
      <c r="T471" s="33" t="s">
        <v>40</v>
      </c>
      <c r="U471" s="33" t="s">
        <v>884</v>
      </c>
      <c r="V471" s="17" t="s">
        <v>40</v>
      </c>
      <c r="W471" s="17" t="s">
        <v>40</v>
      </c>
      <c r="X471" s="53" t="s">
        <v>1543</v>
      </c>
      <c r="Y471" s="33" t="s">
        <v>632</v>
      </c>
      <c r="Z471" s="33" t="s">
        <v>72</v>
      </c>
      <c r="AA471" s="33">
        <v>0</v>
      </c>
      <c r="AB471" s="33">
        <v>0</v>
      </c>
      <c r="AC471" s="32">
        <v>67000</v>
      </c>
      <c r="AD471" s="12">
        <f t="shared" ref="AD471" si="57">AA471/24*AC471</f>
        <v>0</v>
      </c>
      <c r="AE471" s="12">
        <f t="shared" ref="AE471" si="58">AB471/24*AC471</f>
        <v>0</v>
      </c>
      <c r="AF471" s="44"/>
    </row>
    <row r="472" spans="1:32" ht="14.4" x14ac:dyDescent="0.25">
      <c r="A472" s="8">
        <v>471</v>
      </c>
      <c r="B472" s="60">
        <v>46126</v>
      </c>
      <c r="C472" s="35">
        <v>0.6875</v>
      </c>
      <c r="D472" s="43" t="s">
        <v>601</v>
      </c>
      <c r="E472" s="11" t="s">
        <v>73</v>
      </c>
      <c r="F472" s="33" t="s">
        <v>1474</v>
      </c>
      <c r="G472" s="33" t="s">
        <v>63</v>
      </c>
      <c r="H472" s="26" t="s">
        <v>49</v>
      </c>
      <c r="I472" s="26" t="s">
        <v>50</v>
      </c>
      <c r="J472" s="33" t="s">
        <v>92</v>
      </c>
      <c r="K472" s="33" t="s">
        <v>559</v>
      </c>
      <c r="L472" s="33"/>
      <c r="M472" s="43" t="s">
        <v>1471</v>
      </c>
      <c r="N472" s="33" t="s">
        <v>1381</v>
      </c>
      <c r="O472" s="33">
        <v>14</v>
      </c>
      <c r="P472" s="33">
        <v>12</v>
      </c>
      <c r="Q472" s="53" t="s">
        <v>1686</v>
      </c>
      <c r="R472" s="53" t="s">
        <v>1639</v>
      </c>
      <c r="S472" s="33" t="s">
        <v>63</v>
      </c>
      <c r="T472" s="33" t="s">
        <v>40</v>
      </c>
      <c r="U472" s="33" t="s">
        <v>884</v>
      </c>
      <c r="V472" s="33" t="s">
        <v>40</v>
      </c>
      <c r="W472" s="33" t="s">
        <v>462</v>
      </c>
      <c r="X472" s="53" t="s">
        <v>1543</v>
      </c>
      <c r="Y472" s="33" t="s">
        <v>632</v>
      </c>
      <c r="Z472" s="33" t="s">
        <v>72</v>
      </c>
      <c r="AA472" s="33">
        <v>3.75</v>
      </c>
      <c r="AB472" s="33">
        <v>0</v>
      </c>
      <c r="AC472" s="32">
        <v>67000</v>
      </c>
      <c r="AD472" s="32">
        <f t="shared" ref="AD472:AD478" si="59">AA472/24*AC472</f>
        <v>10468.75</v>
      </c>
      <c r="AE472" s="12">
        <f t="shared" ref="AE472:AE478" si="60">AB472/24*AC472</f>
        <v>0</v>
      </c>
      <c r="AF472" s="12" t="s">
        <v>1688</v>
      </c>
    </row>
    <row r="473" spans="1:32" ht="14.4" x14ac:dyDescent="0.25">
      <c r="A473" s="8">
        <v>472</v>
      </c>
      <c r="B473" s="60">
        <v>46127</v>
      </c>
      <c r="C473" s="35">
        <v>0.12152777777777778</v>
      </c>
      <c r="D473" s="43" t="s">
        <v>601</v>
      </c>
      <c r="E473" s="11" t="s">
        <v>73</v>
      </c>
      <c r="F473" s="33" t="s">
        <v>1474</v>
      </c>
      <c r="G473" s="33" t="s">
        <v>63</v>
      </c>
      <c r="H473" s="26" t="s">
        <v>49</v>
      </c>
      <c r="I473" s="26" t="s">
        <v>50</v>
      </c>
      <c r="J473" s="33" t="s">
        <v>110</v>
      </c>
      <c r="K473" s="33" t="s">
        <v>65</v>
      </c>
      <c r="L473" s="33"/>
      <c r="M473" s="43" t="s">
        <v>1689</v>
      </c>
      <c r="N473" s="43" t="s">
        <v>400</v>
      </c>
      <c r="O473" s="33">
        <v>320</v>
      </c>
      <c r="P473" s="33">
        <v>365</v>
      </c>
      <c r="Q473" s="53" t="s">
        <v>1690</v>
      </c>
      <c r="R473" s="53" t="s">
        <v>1691</v>
      </c>
      <c r="S473" s="33" t="s">
        <v>63</v>
      </c>
      <c r="T473" s="33" t="s">
        <v>40</v>
      </c>
      <c r="U473" s="43" t="s">
        <v>1692</v>
      </c>
      <c r="V473" s="33" t="s">
        <v>40</v>
      </c>
      <c r="W473" s="33" t="s">
        <v>462</v>
      </c>
      <c r="X473" s="53" t="s">
        <v>1543</v>
      </c>
      <c r="Y473" s="43" t="s">
        <v>641</v>
      </c>
      <c r="Z473" s="43" t="s">
        <v>59</v>
      </c>
      <c r="AA473" s="33">
        <v>0</v>
      </c>
      <c r="AB473" s="33">
        <v>0</v>
      </c>
      <c r="AC473" s="32">
        <v>67000</v>
      </c>
      <c r="AD473" s="12">
        <f t="shared" si="59"/>
        <v>0</v>
      </c>
      <c r="AE473" s="12">
        <f t="shared" si="60"/>
        <v>0</v>
      </c>
      <c r="AF473" s="44"/>
    </row>
    <row r="474" spans="1:32" ht="14.4" x14ac:dyDescent="0.25">
      <c r="A474" s="8">
        <v>473</v>
      </c>
      <c r="B474" s="34"/>
      <c r="C474" s="35"/>
      <c r="D474" s="33"/>
      <c r="E474" s="11"/>
      <c r="F474" s="33"/>
      <c r="G474" s="33"/>
      <c r="H474" s="33"/>
      <c r="I474" s="33"/>
      <c r="J474" s="33"/>
      <c r="K474" s="33"/>
      <c r="L474" s="33"/>
      <c r="M474" s="33"/>
      <c r="N474" s="33"/>
      <c r="O474" s="33"/>
      <c r="P474" s="33"/>
      <c r="Q474" s="44"/>
      <c r="R474" s="44"/>
      <c r="S474" s="33"/>
      <c r="T474" s="33"/>
      <c r="U474" s="33"/>
      <c r="V474" s="33"/>
      <c r="W474" s="33"/>
      <c r="X474" s="44"/>
      <c r="Y474" s="33"/>
      <c r="Z474" s="33"/>
      <c r="AA474" s="33">
        <v>0</v>
      </c>
      <c r="AB474" s="33">
        <v>0</v>
      </c>
      <c r="AC474" s="32">
        <v>67000</v>
      </c>
      <c r="AD474" s="12">
        <f t="shared" si="59"/>
        <v>0</v>
      </c>
      <c r="AE474" s="12">
        <f t="shared" si="60"/>
        <v>0</v>
      </c>
      <c r="AF474" s="44"/>
    </row>
    <row r="475" spans="1:32" ht="14.4" x14ac:dyDescent="0.25">
      <c r="A475" s="8">
        <v>474</v>
      </c>
      <c r="B475" s="34"/>
      <c r="C475" s="35"/>
      <c r="D475" s="33"/>
      <c r="E475" s="11"/>
      <c r="F475" s="33"/>
      <c r="G475" s="33"/>
      <c r="H475" s="33"/>
      <c r="I475" s="33"/>
      <c r="J475" s="33"/>
      <c r="K475" s="33"/>
      <c r="L475" s="33"/>
      <c r="M475" s="33"/>
      <c r="N475" s="33"/>
      <c r="O475" s="33"/>
      <c r="P475" s="33"/>
      <c r="Q475" s="44"/>
      <c r="R475" s="44"/>
      <c r="S475" s="33"/>
      <c r="T475" s="33"/>
      <c r="U475" s="33"/>
      <c r="V475" s="33"/>
      <c r="W475" s="33"/>
      <c r="X475" s="44"/>
      <c r="Y475" s="33"/>
      <c r="Z475" s="33"/>
      <c r="AA475" s="33">
        <v>0</v>
      </c>
      <c r="AB475" s="33">
        <v>0</v>
      </c>
      <c r="AC475" s="32">
        <v>67000</v>
      </c>
      <c r="AD475" s="12">
        <f t="shared" si="59"/>
        <v>0</v>
      </c>
      <c r="AE475" s="12">
        <f t="shared" si="60"/>
        <v>0</v>
      </c>
      <c r="AF475" s="44"/>
    </row>
    <row r="476" spans="1:32" ht="14.4" x14ac:dyDescent="0.25">
      <c r="A476" s="8">
        <v>475</v>
      </c>
      <c r="B476" s="34"/>
      <c r="C476" s="35"/>
      <c r="D476" s="33"/>
      <c r="E476" s="11"/>
      <c r="F476" s="33"/>
      <c r="G476" s="33"/>
      <c r="H476" s="33"/>
      <c r="I476" s="33"/>
      <c r="J476" s="33"/>
      <c r="K476" s="33"/>
      <c r="L476" s="33"/>
      <c r="M476" s="33"/>
      <c r="N476" s="33"/>
      <c r="O476" s="33"/>
      <c r="P476" s="33"/>
      <c r="Q476" s="44"/>
      <c r="R476" s="44"/>
      <c r="S476" s="33"/>
      <c r="T476" s="33"/>
      <c r="U476" s="33"/>
      <c r="V476" s="33"/>
      <c r="W476" s="33"/>
      <c r="X476" s="44"/>
      <c r="Y476" s="33"/>
      <c r="Z476" s="33"/>
      <c r="AA476" s="33">
        <v>0</v>
      </c>
      <c r="AB476" s="33">
        <v>0</v>
      </c>
      <c r="AC476" s="32">
        <v>67000</v>
      </c>
      <c r="AD476" s="12">
        <f t="shared" si="59"/>
        <v>0</v>
      </c>
      <c r="AE476" s="12">
        <f t="shared" si="60"/>
        <v>0</v>
      </c>
      <c r="AF476" s="44"/>
    </row>
    <row r="477" spans="1:32" ht="14.4" x14ac:dyDescent="0.25">
      <c r="A477" s="8">
        <v>476</v>
      </c>
      <c r="B477" s="34"/>
      <c r="C477" s="35"/>
      <c r="D477" s="33"/>
      <c r="E477" s="11"/>
      <c r="F477" s="33"/>
      <c r="G477" s="33"/>
      <c r="H477" s="33"/>
      <c r="I477" s="33"/>
      <c r="J477" s="33"/>
      <c r="K477" s="33"/>
      <c r="L477" s="33"/>
      <c r="M477" s="33"/>
      <c r="N477" s="33"/>
      <c r="O477" s="33"/>
      <c r="P477" s="33"/>
      <c r="Q477" s="44"/>
      <c r="R477" s="44"/>
      <c r="S477" s="33"/>
      <c r="T477" s="33"/>
      <c r="U477" s="33"/>
      <c r="V477" s="33"/>
      <c r="W477" s="33"/>
      <c r="X477" s="44"/>
      <c r="Y477" s="33"/>
      <c r="Z477" s="33"/>
      <c r="AA477" s="33">
        <v>0</v>
      </c>
      <c r="AB477" s="33">
        <v>0</v>
      </c>
      <c r="AC477" s="32">
        <v>67000</v>
      </c>
      <c r="AD477" s="12">
        <f t="shared" si="59"/>
        <v>0</v>
      </c>
      <c r="AE477" s="12">
        <f t="shared" si="60"/>
        <v>0</v>
      </c>
      <c r="AF477" s="44"/>
    </row>
    <row r="478" spans="1:32" ht="14.4" x14ac:dyDescent="0.25">
      <c r="A478" s="8">
        <v>477</v>
      </c>
      <c r="B478" s="34"/>
      <c r="C478" s="35"/>
      <c r="D478" s="33"/>
      <c r="E478" s="11"/>
      <c r="F478" s="33"/>
      <c r="G478" s="33"/>
      <c r="H478" s="33"/>
      <c r="I478" s="33"/>
      <c r="J478" s="33"/>
      <c r="K478" s="33"/>
      <c r="L478" s="33"/>
      <c r="M478" s="33"/>
      <c r="N478" s="33"/>
      <c r="O478" s="33"/>
      <c r="P478" s="33"/>
      <c r="Q478" s="44"/>
      <c r="R478" s="44"/>
      <c r="S478" s="33"/>
      <c r="T478" s="33"/>
      <c r="U478" s="33"/>
      <c r="V478" s="33"/>
      <c r="W478" s="33"/>
      <c r="X478" s="44"/>
      <c r="Y478" s="33"/>
      <c r="Z478" s="33"/>
      <c r="AA478" s="33">
        <v>0</v>
      </c>
      <c r="AB478" s="33">
        <v>0</v>
      </c>
      <c r="AC478" s="32">
        <v>67000</v>
      </c>
      <c r="AD478" s="12">
        <f t="shared" si="59"/>
        <v>0</v>
      </c>
      <c r="AE478" s="12">
        <f t="shared" si="60"/>
        <v>0</v>
      </c>
      <c r="AF478" s="44"/>
    </row>
    <row r="479" spans="1:32" ht="13.2" x14ac:dyDescent="0.25">
      <c r="B479" s="5"/>
      <c r="C479" s="6"/>
      <c r="AD479" s="7"/>
    </row>
    <row r="480" spans="1:32" ht="13.2" x14ac:dyDescent="0.25">
      <c r="B480" s="5"/>
      <c r="C480" s="6"/>
      <c r="AD480" s="7"/>
    </row>
    <row r="481" spans="2:30" ht="13.2" x14ac:dyDescent="0.25">
      <c r="B481" s="5"/>
      <c r="C481" s="6"/>
      <c r="AD481" s="7"/>
    </row>
    <row r="482" spans="2:30" ht="13.2" x14ac:dyDescent="0.25">
      <c r="B482" s="5"/>
      <c r="C482" s="6"/>
      <c r="AD482" s="7"/>
    </row>
    <row r="483" spans="2:30" ht="13.2" x14ac:dyDescent="0.25">
      <c r="B483" s="5"/>
      <c r="C483" s="6"/>
      <c r="AD483" s="7"/>
    </row>
    <row r="484" spans="2:30" ht="13.2" x14ac:dyDescent="0.25">
      <c r="B484" s="5"/>
      <c r="C484" s="6"/>
      <c r="AD484" s="7"/>
    </row>
    <row r="485" spans="2:30" ht="13.2" x14ac:dyDescent="0.25">
      <c r="B485" s="5"/>
      <c r="C485" s="6"/>
      <c r="AD485" s="7"/>
    </row>
    <row r="486" spans="2:30" ht="13.2" x14ac:dyDescent="0.25">
      <c r="B486" s="5"/>
      <c r="C486" s="6"/>
      <c r="AD486" s="7"/>
    </row>
    <row r="487" spans="2:30" ht="13.2" x14ac:dyDescent="0.25">
      <c r="B487" s="5"/>
      <c r="C487" s="6"/>
      <c r="AD487" s="7"/>
    </row>
    <row r="488" spans="2:30" ht="13.2" x14ac:dyDescent="0.25">
      <c r="B488" s="5"/>
      <c r="C488" s="6"/>
      <c r="AD488" s="7"/>
    </row>
    <row r="489" spans="2:30" ht="13.2" x14ac:dyDescent="0.25">
      <c r="B489" s="5"/>
      <c r="C489" s="6"/>
      <c r="AD489" s="7"/>
    </row>
    <row r="490" spans="2:30" ht="13.2" x14ac:dyDescent="0.25">
      <c r="B490" s="5"/>
      <c r="C490" s="6"/>
      <c r="AD490" s="7"/>
    </row>
    <row r="491" spans="2:30" ht="13.2" x14ac:dyDescent="0.25">
      <c r="B491" s="5"/>
      <c r="C491" s="6"/>
      <c r="AD491" s="7"/>
    </row>
    <row r="492" spans="2:30" ht="13.2" x14ac:dyDescent="0.25">
      <c r="B492" s="5"/>
      <c r="C492" s="6"/>
      <c r="AD492" s="7"/>
    </row>
    <row r="493" spans="2:30" ht="13.2" x14ac:dyDescent="0.25">
      <c r="B493" s="5"/>
      <c r="C493" s="6"/>
      <c r="AD493" s="7"/>
    </row>
    <row r="494" spans="2:30" ht="13.2" x14ac:dyDescent="0.25">
      <c r="B494" s="5"/>
      <c r="C494" s="6"/>
      <c r="AD494" s="7"/>
    </row>
    <row r="495" spans="2:30" ht="13.2" x14ac:dyDescent="0.25">
      <c r="B495" s="5"/>
      <c r="C495" s="6"/>
      <c r="AD495" s="7"/>
    </row>
    <row r="496" spans="2:30" ht="13.2" x14ac:dyDescent="0.25">
      <c r="B496" s="5"/>
      <c r="C496" s="6"/>
      <c r="AD496" s="7"/>
    </row>
    <row r="497" spans="2:30" ht="13.2" x14ac:dyDescent="0.25">
      <c r="B497" s="5"/>
      <c r="C497" s="6"/>
      <c r="AD497" s="7"/>
    </row>
    <row r="498" spans="2:30" ht="13.2" x14ac:dyDescent="0.25">
      <c r="B498" s="5"/>
      <c r="C498" s="6"/>
      <c r="AD498" s="7"/>
    </row>
    <row r="499" spans="2:30" ht="13.2" x14ac:dyDescent="0.25">
      <c r="B499" s="5"/>
      <c r="C499" s="6"/>
      <c r="AD499" s="7"/>
    </row>
    <row r="500" spans="2:30" ht="13.2" x14ac:dyDescent="0.25">
      <c r="B500" s="5"/>
      <c r="C500" s="6"/>
      <c r="AD500" s="7"/>
    </row>
    <row r="501" spans="2:30" ht="13.2" x14ac:dyDescent="0.25">
      <c r="B501" s="5"/>
      <c r="C501" s="6"/>
      <c r="AD501" s="7"/>
    </row>
    <row r="502" spans="2:30" ht="13.2" x14ac:dyDescent="0.25">
      <c r="B502" s="5"/>
      <c r="C502" s="6"/>
      <c r="AD502" s="7"/>
    </row>
    <row r="503" spans="2:30" ht="13.2" x14ac:dyDescent="0.25">
      <c r="B503" s="5"/>
      <c r="C503" s="6"/>
      <c r="AD503" s="7"/>
    </row>
    <row r="504" spans="2:30" ht="13.2" x14ac:dyDescent="0.25">
      <c r="B504" s="5"/>
      <c r="C504" s="6"/>
      <c r="AD504" s="7"/>
    </row>
    <row r="505" spans="2:30" ht="13.2" x14ac:dyDescent="0.25">
      <c r="B505" s="5"/>
      <c r="C505" s="6"/>
      <c r="AD505" s="7"/>
    </row>
    <row r="506" spans="2:30" ht="13.2" x14ac:dyDescent="0.25">
      <c r="B506" s="5"/>
      <c r="C506" s="6"/>
      <c r="AD506" s="7"/>
    </row>
    <row r="507" spans="2:30" ht="13.2" x14ac:dyDescent="0.25">
      <c r="B507" s="5"/>
      <c r="C507" s="6"/>
      <c r="AD507" s="7"/>
    </row>
    <row r="508" spans="2:30" ht="13.2" x14ac:dyDescent="0.25">
      <c r="B508" s="5"/>
      <c r="C508" s="6"/>
      <c r="AD508" s="7"/>
    </row>
    <row r="509" spans="2:30" ht="13.2" x14ac:dyDescent="0.25">
      <c r="B509" s="5"/>
      <c r="C509" s="6"/>
      <c r="AD509" s="7"/>
    </row>
    <row r="510" spans="2:30" ht="13.2" x14ac:dyDescent="0.25">
      <c r="B510" s="5"/>
      <c r="C510" s="6"/>
      <c r="AD510" s="7"/>
    </row>
    <row r="511" spans="2:30" ht="13.2" x14ac:dyDescent="0.25">
      <c r="B511" s="5"/>
      <c r="C511" s="6"/>
      <c r="AD511" s="7"/>
    </row>
    <row r="512" spans="2:30" ht="13.2" x14ac:dyDescent="0.25">
      <c r="B512" s="5"/>
      <c r="C512" s="6"/>
      <c r="AD512" s="7"/>
    </row>
    <row r="513" spans="2:30" ht="13.2" x14ac:dyDescent="0.25">
      <c r="B513" s="5"/>
      <c r="C513" s="6"/>
      <c r="AD513" s="7"/>
    </row>
    <row r="514" spans="2:30" ht="13.2" x14ac:dyDescent="0.25">
      <c r="B514" s="5"/>
      <c r="C514" s="6"/>
      <c r="AD514" s="7"/>
    </row>
    <row r="515" spans="2:30" ht="13.2" x14ac:dyDescent="0.25">
      <c r="B515" s="5"/>
      <c r="C515" s="6"/>
      <c r="AD515" s="7"/>
    </row>
    <row r="516" spans="2:30" ht="13.2" x14ac:dyDescent="0.25">
      <c r="B516" s="5"/>
      <c r="C516" s="6"/>
      <c r="AD516" s="7"/>
    </row>
    <row r="517" spans="2:30" ht="13.2" x14ac:dyDescent="0.25">
      <c r="B517" s="5"/>
      <c r="C517" s="6"/>
      <c r="AD517" s="7"/>
    </row>
    <row r="518" spans="2:30" ht="13.2" x14ac:dyDescent="0.25">
      <c r="B518" s="5"/>
      <c r="C518" s="6"/>
      <c r="AD518" s="7"/>
    </row>
    <row r="519" spans="2:30" ht="13.2" x14ac:dyDescent="0.25">
      <c r="B519" s="5"/>
      <c r="C519" s="6"/>
      <c r="AD519" s="7"/>
    </row>
    <row r="520" spans="2:30" ht="13.2" x14ac:dyDescent="0.25">
      <c r="B520" s="5"/>
      <c r="C520" s="6"/>
      <c r="AD520" s="7"/>
    </row>
    <row r="521" spans="2:30" ht="13.2" x14ac:dyDescent="0.25">
      <c r="B521" s="5"/>
      <c r="C521" s="6"/>
      <c r="AD521" s="7"/>
    </row>
    <row r="522" spans="2:30" ht="13.2" x14ac:dyDescent="0.25">
      <c r="B522" s="5"/>
      <c r="C522" s="6"/>
      <c r="AD522" s="7"/>
    </row>
    <row r="523" spans="2:30" ht="13.2" x14ac:dyDescent="0.25">
      <c r="B523" s="5"/>
      <c r="C523" s="6"/>
      <c r="AD523" s="7"/>
    </row>
    <row r="524" spans="2:30" ht="13.2" x14ac:dyDescent="0.25">
      <c r="B524" s="5"/>
      <c r="C524" s="6"/>
      <c r="AD524" s="7"/>
    </row>
    <row r="525" spans="2:30" ht="13.2" x14ac:dyDescent="0.25">
      <c r="B525" s="5"/>
      <c r="C525" s="6"/>
      <c r="AD525" s="7"/>
    </row>
    <row r="526" spans="2:30" ht="13.2" x14ac:dyDescent="0.25">
      <c r="B526" s="5"/>
      <c r="C526" s="6"/>
      <c r="AD526" s="7"/>
    </row>
    <row r="527" spans="2:30" ht="13.2" x14ac:dyDescent="0.25">
      <c r="B527" s="5"/>
      <c r="C527" s="6"/>
      <c r="AD527" s="7"/>
    </row>
    <row r="528" spans="2:30" ht="13.2" x14ac:dyDescent="0.25">
      <c r="B528" s="5"/>
      <c r="C528" s="6"/>
      <c r="AD528" s="7"/>
    </row>
    <row r="529" spans="2:30" ht="13.2" x14ac:dyDescent="0.25">
      <c r="B529" s="5"/>
      <c r="C529" s="6"/>
      <c r="AD529" s="7"/>
    </row>
    <row r="530" spans="2:30" ht="13.2" x14ac:dyDescent="0.25">
      <c r="B530" s="5"/>
      <c r="C530" s="6"/>
      <c r="AD530" s="7"/>
    </row>
    <row r="531" spans="2:30" ht="13.2" x14ac:dyDescent="0.25">
      <c r="B531" s="5"/>
      <c r="C531" s="6"/>
      <c r="AD531" s="7"/>
    </row>
    <row r="532" spans="2:30" ht="13.2" x14ac:dyDescent="0.25">
      <c r="B532" s="5"/>
      <c r="C532" s="6"/>
      <c r="AD532" s="7"/>
    </row>
    <row r="533" spans="2:30" ht="13.2" x14ac:dyDescent="0.25">
      <c r="B533" s="5"/>
      <c r="C533" s="6"/>
      <c r="AD533" s="7"/>
    </row>
    <row r="534" spans="2:30" ht="13.2" x14ac:dyDescent="0.25">
      <c r="B534" s="5"/>
      <c r="C534" s="6"/>
      <c r="AD534" s="7"/>
    </row>
    <row r="535" spans="2:30" ht="13.2" x14ac:dyDescent="0.25">
      <c r="B535" s="5"/>
      <c r="C535" s="6"/>
      <c r="AD535" s="7"/>
    </row>
    <row r="536" spans="2:30" ht="13.2" x14ac:dyDescent="0.25">
      <c r="B536" s="5"/>
      <c r="C536" s="6"/>
      <c r="AD536" s="7"/>
    </row>
    <row r="537" spans="2:30" ht="13.2" x14ac:dyDescent="0.25">
      <c r="B537" s="5"/>
      <c r="C537" s="6"/>
      <c r="AD537" s="7"/>
    </row>
    <row r="538" spans="2:30" ht="13.2" x14ac:dyDescent="0.25">
      <c r="B538" s="5"/>
      <c r="C538" s="6"/>
      <c r="AD538" s="7"/>
    </row>
    <row r="539" spans="2:30" ht="13.2" x14ac:dyDescent="0.25">
      <c r="B539" s="5"/>
      <c r="C539" s="6"/>
      <c r="AD539" s="7"/>
    </row>
    <row r="540" spans="2:30" ht="13.2" x14ac:dyDescent="0.25">
      <c r="B540" s="5"/>
      <c r="C540" s="6"/>
      <c r="AD540" s="7"/>
    </row>
    <row r="541" spans="2:30" ht="13.2" x14ac:dyDescent="0.25">
      <c r="B541" s="5"/>
      <c r="C541" s="6"/>
      <c r="AD541" s="7"/>
    </row>
    <row r="542" spans="2:30" ht="13.2" x14ac:dyDescent="0.25">
      <c r="B542" s="5"/>
      <c r="C542" s="6"/>
      <c r="AD542" s="7"/>
    </row>
    <row r="543" spans="2:30" ht="13.2" x14ac:dyDescent="0.25">
      <c r="B543" s="5"/>
      <c r="C543" s="6"/>
      <c r="AD543" s="7"/>
    </row>
    <row r="544" spans="2:30" ht="13.2" x14ac:dyDescent="0.25">
      <c r="B544" s="5"/>
      <c r="C544" s="6"/>
      <c r="AD544" s="7"/>
    </row>
    <row r="545" spans="2:30" ht="13.2" x14ac:dyDescent="0.25">
      <c r="B545" s="5"/>
      <c r="C545" s="6"/>
      <c r="AD545" s="7"/>
    </row>
    <row r="546" spans="2:30" ht="13.2" x14ac:dyDescent="0.25">
      <c r="B546" s="5"/>
      <c r="C546" s="6"/>
      <c r="AD546" s="7"/>
    </row>
    <row r="547" spans="2:30" ht="13.2" x14ac:dyDescent="0.25">
      <c r="B547" s="5"/>
      <c r="C547" s="6"/>
      <c r="AD547" s="7"/>
    </row>
    <row r="548" spans="2:30" ht="13.2" x14ac:dyDescent="0.25">
      <c r="B548" s="5"/>
      <c r="C548" s="6"/>
      <c r="AD548" s="7"/>
    </row>
    <row r="549" spans="2:30" ht="13.2" x14ac:dyDescent="0.25">
      <c r="B549" s="5"/>
      <c r="C549" s="6"/>
      <c r="AD549" s="7"/>
    </row>
    <row r="550" spans="2:30" ht="13.2" x14ac:dyDescent="0.25">
      <c r="B550" s="5"/>
      <c r="C550" s="6"/>
      <c r="AD550" s="7"/>
    </row>
    <row r="551" spans="2:30" ht="13.2" x14ac:dyDescent="0.25">
      <c r="B551" s="5"/>
      <c r="C551" s="6"/>
      <c r="AD551" s="7"/>
    </row>
    <row r="552" spans="2:30" ht="13.2" x14ac:dyDescent="0.25">
      <c r="B552" s="5"/>
      <c r="C552" s="6"/>
      <c r="AD552" s="7"/>
    </row>
    <row r="553" spans="2:30" ht="13.2" x14ac:dyDescent="0.25">
      <c r="B553" s="5"/>
      <c r="C553" s="6"/>
      <c r="AD553" s="7"/>
    </row>
    <row r="554" spans="2:30" ht="13.2" x14ac:dyDescent="0.25">
      <c r="B554" s="5"/>
      <c r="C554" s="6"/>
      <c r="AD554" s="7"/>
    </row>
    <row r="555" spans="2:30" ht="13.2" x14ac:dyDescent="0.25">
      <c r="B555" s="5"/>
      <c r="C555" s="6"/>
      <c r="AD555" s="7"/>
    </row>
    <row r="556" spans="2:30" ht="13.2" x14ac:dyDescent="0.25">
      <c r="B556" s="5"/>
      <c r="C556" s="6"/>
      <c r="AD556" s="7"/>
    </row>
    <row r="557" spans="2:30" ht="13.2" x14ac:dyDescent="0.25">
      <c r="B557" s="5"/>
      <c r="C557" s="6"/>
      <c r="AD557" s="7"/>
    </row>
    <row r="558" spans="2:30" ht="13.2" x14ac:dyDescent="0.25">
      <c r="B558" s="5"/>
      <c r="C558" s="6"/>
      <c r="AD558" s="7"/>
    </row>
    <row r="559" spans="2:30" ht="13.2" x14ac:dyDescent="0.25">
      <c r="B559" s="5"/>
      <c r="C559" s="6"/>
      <c r="AD559" s="7"/>
    </row>
    <row r="560" spans="2:30" ht="13.2" x14ac:dyDescent="0.25">
      <c r="B560" s="5"/>
      <c r="C560" s="6"/>
      <c r="AD560" s="7"/>
    </row>
    <row r="561" spans="2:30" ht="13.2" x14ac:dyDescent="0.25">
      <c r="B561" s="5"/>
      <c r="C561" s="6"/>
      <c r="AD561" s="7"/>
    </row>
    <row r="562" spans="2:30" ht="13.2" x14ac:dyDescent="0.25">
      <c r="B562" s="5"/>
      <c r="C562" s="6"/>
      <c r="AD562" s="7"/>
    </row>
    <row r="563" spans="2:30" ht="13.2" x14ac:dyDescent="0.25">
      <c r="B563" s="5"/>
      <c r="C563" s="6"/>
      <c r="AD563" s="7"/>
    </row>
    <row r="564" spans="2:30" ht="13.2" x14ac:dyDescent="0.25">
      <c r="B564" s="5"/>
      <c r="C564" s="6"/>
      <c r="AD564" s="7"/>
    </row>
    <row r="565" spans="2:30" ht="13.2" x14ac:dyDescent="0.25">
      <c r="B565" s="5"/>
      <c r="C565" s="6"/>
      <c r="AD565" s="7"/>
    </row>
    <row r="566" spans="2:30" ht="13.2" x14ac:dyDescent="0.25">
      <c r="B566" s="5"/>
      <c r="C566" s="6"/>
      <c r="AD566" s="7"/>
    </row>
    <row r="567" spans="2:30" ht="13.2" x14ac:dyDescent="0.25">
      <c r="B567" s="5"/>
      <c r="C567" s="6"/>
      <c r="AD567" s="7"/>
    </row>
    <row r="568" spans="2:30" ht="13.2" x14ac:dyDescent="0.25">
      <c r="B568" s="5"/>
      <c r="C568" s="6"/>
      <c r="AD568" s="7"/>
    </row>
    <row r="569" spans="2:30" ht="13.2" x14ac:dyDescent="0.25">
      <c r="B569" s="5"/>
      <c r="C569" s="6"/>
      <c r="AD569" s="7"/>
    </row>
    <row r="570" spans="2:30" ht="13.2" x14ac:dyDescent="0.25">
      <c r="B570" s="5"/>
      <c r="C570" s="6"/>
      <c r="AD570" s="7"/>
    </row>
    <row r="571" spans="2:30" ht="13.2" x14ac:dyDescent="0.25">
      <c r="B571" s="5"/>
      <c r="C571" s="6"/>
      <c r="AD571" s="7"/>
    </row>
    <row r="572" spans="2:30" ht="13.2" x14ac:dyDescent="0.25">
      <c r="B572" s="5"/>
      <c r="C572" s="6"/>
      <c r="AD572" s="7"/>
    </row>
    <row r="573" spans="2:30" ht="13.2" x14ac:dyDescent="0.25">
      <c r="B573" s="5"/>
      <c r="C573" s="6"/>
      <c r="AD573" s="7"/>
    </row>
    <row r="574" spans="2:30" ht="13.2" x14ac:dyDescent="0.25">
      <c r="B574" s="5"/>
      <c r="C574" s="6"/>
      <c r="AD574" s="7"/>
    </row>
    <row r="575" spans="2:30" ht="13.2" x14ac:dyDescent="0.25">
      <c r="B575" s="5"/>
      <c r="C575" s="6"/>
      <c r="AD575" s="7"/>
    </row>
    <row r="576" spans="2:30" ht="13.2" x14ac:dyDescent="0.25">
      <c r="B576" s="5"/>
      <c r="C576" s="6"/>
      <c r="AD576" s="7"/>
    </row>
    <row r="577" spans="2:30" ht="13.2" x14ac:dyDescent="0.25">
      <c r="B577" s="5"/>
      <c r="C577" s="6"/>
      <c r="AD577" s="7"/>
    </row>
    <row r="578" spans="2:30" ht="13.2" x14ac:dyDescent="0.25">
      <c r="B578" s="5"/>
      <c r="C578" s="6"/>
      <c r="AD578" s="7"/>
    </row>
    <row r="579" spans="2:30" ht="13.2" x14ac:dyDescent="0.25">
      <c r="B579" s="5"/>
      <c r="C579" s="6"/>
      <c r="AD579" s="7"/>
    </row>
    <row r="580" spans="2:30" ht="13.2" x14ac:dyDescent="0.25">
      <c r="B580" s="5"/>
      <c r="C580" s="6"/>
      <c r="AD580" s="7"/>
    </row>
    <row r="581" spans="2:30" ht="13.2" x14ac:dyDescent="0.25">
      <c r="B581" s="5"/>
      <c r="C581" s="6"/>
      <c r="AD581" s="7"/>
    </row>
    <row r="582" spans="2:30" ht="13.2" x14ac:dyDescent="0.25">
      <c r="B582" s="5"/>
      <c r="C582" s="6"/>
      <c r="AD582" s="7"/>
    </row>
    <row r="583" spans="2:30" ht="13.2" x14ac:dyDescent="0.25">
      <c r="B583" s="5"/>
      <c r="C583" s="6"/>
      <c r="AD583" s="7"/>
    </row>
    <row r="584" spans="2:30" ht="13.2" x14ac:dyDescent="0.25">
      <c r="B584" s="5"/>
      <c r="C584" s="6"/>
      <c r="AD584" s="7"/>
    </row>
    <row r="585" spans="2:30" ht="13.2" x14ac:dyDescent="0.25">
      <c r="B585" s="5"/>
      <c r="C585" s="6"/>
      <c r="AD585" s="7"/>
    </row>
    <row r="586" spans="2:30" ht="13.2" x14ac:dyDescent="0.25">
      <c r="B586" s="5"/>
      <c r="C586" s="6"/>
      <c r="AD586" s="7"/>
    </row>
    <row r="587" spans="2:30" ht="13.2" x14ac:dyDescent="0.25">
      <c r="B587" s="5"/>
      <c r="C587" s="6"/>
      <c r="AD587" s="7"/>
    </row>
    <row r="588" spans="2:30" ht="13.2" x14ac:dyDescent="0.25">
      <c r="B588" s="5"/>
      <c r="C588" s="6"/>
      <c r="AD588" s="7"/>
    </row>
    <row r="589" spans="2:30" ht="13.2" x14ac:dyDescent="0.25">
      <c r="B589" s="5"/>
      <c r="C589" s="6"/>
      <c r="AD589" s="7"/>
    </row>
    <row r="590" spans="2:30" ht="13.2" x14ac:dyDescent="0.25">
      <c r="B590" s="5"/>
      <c r="C590" s="6"/>
      <c r="AD590" s="7"/>
    </row>
    <row r="591" spans="2:30" ht="13.2" x14ac:dyDescent="0.25">
      <c r="B591" s="5"/>
      <c r="C591" s="6"/>
      <c r="AD591" s="7"/>
    </row>
    <row r="592" spans="2:30" ht="13.2" x14ac:dyDescent="0.25">
      <c r="B592" s="5"/>
      <c r="C592" s="6"/>
      <c r="AD592" s="7"/>
    </row>
    <row r="593" spans="2:30" ht="13.2" x14ac:dyDescent="0.25">
      <c r="B593" s="5"/>
      <c r="C593" s="6"/>
      <c r="AD593" s="7"/>
    </row>
    <row r="594" spans="2:30" ht="13.2" x14ac:dyDescent="0.25">
      <c r="B594" s="5"/>
      <c r="C594" s="6"/>
      <c r="AD594" s="7"/>
    </row>
    <row r="595" spans="2:30" ht="13.2" x14ac:dyDescent="0.25">
      <c r="B595" s="5"/>
      <c r="C595" s="6"/>
      <c r="AD595" s="7"/>
    </row>
    <row r="596" spans="2:30" ht="13.2" x14ac:dyDescent="0.25">
      <c r="B596" s="5"/>
      <c r="C596" s="6"/>
      <c r="AD596" s="7"/>
    </row>
    <row r="597" spans="2:30" ht="13.2" x14ac:dyDescent="0.25">
      <c r="B597" s="5"/>
      <c r="C597" s="6"/>
      <c r="AD597" s="7"/>
    </row>
    <row r="598" spans="2:30" ht="13.2" x14ac:dyDescent="0.25">
      <c r="B598" s="5"/>
      <c r="C598" s="6"/>
      <c r="AD598" s="7"/>
    </row>
    <row r="599" spans="2:30" ht="13.2" x14ac:dyDescent="0.25">
      <c r="B599" s="5"/>
      <c r="C599" s="6"/>
      <c r="AD599" s="7"/>
    </row>
    <row r="600" spans="2:30" ht="13.2" x14ac:dyDescent="0.25">
      <c r="B600" s="5"/>
      <c r="C600" s="6"/>
      <c r="AD600" s="7"/>
    </row>
    <row r="601" spans="2:30" ht="13.2" x14ac:dyDescent="0.25">
      <c r="B601" s="5"/>
      <c r="C601" s="6"/>
      <c r="AD601" s="7"/>
    </row>
    <row r="602" spans="2:30" ht="13.2" x14ac:dyDescent="0.25">
      <c r="B602" s="5"/>
      <c r="C602" s="6"/>
      <c r="AD602" s="7"/>
    </row>
    <row r="603" spans="2:30" ht="13.2" x14ac:dyDescent="0.25">
      <c r="B603" s="5"/>
      <c r="C603" s="6"/>
      <c r="AD603" s="7"/>
    </row>
    <row r="604" spans="2:30" ht="13.2" x14ac:dyDescent="0.25">
      <c r="B604" s="5"/>
      <c r="C604" s="6"/>
      <c r="AD604" s="7"/>
    </row>
    <row r="605" spans="2:30" ht="13.2" x14ac:dyDescent="0.25">
      <c r="B605" s="5"/>
      <c r="C605" s="6"/>
      <c r="AD605" s="7"/>
    </row>
    <row r="606" spans="2:30" ht="13.2" x14ac:dyDescent="0.25">
      <c r="B606" s="5"/>
      <c r="C606" s="6"/>
      <c r="AD606" s="7"/>
    </row>
    <row r="607" spans="2:30" ht="13.2" x14ac:dyDescent="0.25">
      <c r="B607" s="5"/>
      <c r="C607" s="6"/>
      <c r="AD607" s="7"/>
    </row>
    <row r="608" spans="2:30" ht="13.2" x14ac:dyDescent="0.25">
      <c r="B608" s="5"/>
      <c r="C608" s="6"/>
      <c r="AD608" s="7"/>
    </row>
    <row r="609" spans="2:30" ht="13.2" x14ac:dyDescent="0.25">
      <c r="B609" s="5"/>
      <c r="C609" s="6"/>
      <c r="AD609" s="7"/>
    </row>
    <row r="610" spans="2:30" ht="13.2" x14ac:dyDescent="0.25">
      <c r="B610" s="5"/>
      <c r="C610" s="6"/>
      <c r="AD610" s="7"/>
    </row>
    <row r="611" spans="2:30" ht="13.2" x14ac:dyDescent="0.25">
      <c r="B611" s="5"/>
      <c r="C611" s="6"/>
      <c r="AD611" s="7"/>
    </row>
    <row r="612" spans="2:30" ht="13.2" x14ac:dyDescent="0.25">
      <c r="B612" s="5"/>
      <c r="C612" s="6"/>
      <c r="AD612" s="7"/>
    </row>
    <row r="613" spans="2:30" ht="13.2" x14ac:dyDescent="0.25">
      <c r="B613" s="5"/>
      <c r="C613" s="6"/>
      <c r="AD613" s="7"/>
    </row>
    <row r="614" spans="2:30" ht="13.2" x14ac:dyDescent="0.25">
      <c r="B614" s="5"/>
      <c r="C614" s="6"/>
      <c r="AD614" s="7"/>
    </row>
    <row r="615" spans="2:30" ht="13.2" x14ac:dyDescent="0.25">
      <c r="B615" s="5"/>
      <c r="C615" s="6"/>
      <c r="AD615" s="7"/>
    </row>
    <row r="616" spans="2:30" ht="13.2" x14ac:dyDescent="0.25">
      <c r="B616" s="5"/>
      <c r="C616" s="6"/>
      <c r="AD616" s="7"/>
    </row>
    <row r="617" spans="2:30" ht="13.2" x14ac:dyDescent="0.25">
      <c r="B617" s="5"/>
      <c r="C617" s="6"/>
      <c r="AD617" s="7"/>
    </row>
    <row r="618" spans="2:30" ht="13.2" x14ac:dyDescent="0.25">
      <c r="B618" s="5"/>
      <c r="C618" s="6"/>
      <c r="AD618" s="7"/>
    </row>
    <row r="619" spans="2:30" ht="13.2" x14ac:dyDescent="0.25">
      <c r="B619" s="5"/>
      <c r="C619" s="6"/>
      <c r="AD619" s="7"/>
    </row>
    <row r="620" spans="2:30" ht="13.2" x14ac:dyDescent="0.25">
      <c r="B620" s="5"/>
      <c r="C620" s="6"/>
      <c r="AD620" s="7"/>
    </row>
    <row r="621" spans="2:30" ht="13.2" x14ac:dyDescent="0.25">
      <c r="B621" s="5"/>
      <c r="C621" s="6"/>
      <c r="AD621" s="7"/>
    </row>
    <row r="622" spans="2:30" ht="13.2" x14ac:dyDescent="0.25">
      <c r="B622" s="5"/>
      <c r="C622" s="6"/>
      <c r="AD622" s="7"/>
    </row>
    <row r="623" spans="2:30" ht="13.2" x14ac:dyDescent="0.25">
      <c r="B623" s="5"/>
      <c r="C623" s="6"/>
      <c r="AD623" s="7"/>
    </row>
    <row r="624" spans="2:30" ht="13.2" x14ac:dyDescent="0.25">
      <c r="B624" s="5"/>
      <c r="C624" s="6"/>
      <c r="AD624" s="7"/>
    </row>
    <row r="625" spans="2:30" ht="13.2" x14ac:dyDescent="0.25">
      <c r="B625" s="5"/>
      <c r="C625" s="6"/>
      <c r="AD625" s="7"/>
    </row>
    <row r="626" spans="2:30" ht="13.2" x14ac:dyDescent="0.25">
      <c r="B626" s="5"/>
      <c r="C626" s="6"/>
      <c r="AD626" s="7"/>
    </row>
    <row r="627" spans="2:30" ht="13.2" x14ac:dyDescent="0.25">
      <c r="B627" s="5"/>
      <c r="C627" s="6"/>
      <c r="AD627" s="7"/>
    </row>
    <row r="628" spans="2:30" ht="13.2" x14ac:dyDescent="0.25">
      <c r="B628" s="5"/>
      <c r="C628" s="6"/>
      <c r="AD628" s="7"/>
    </row>
    <row r="629" spans="2:30" ht="13.2" x14ac:dyDescent="0.25">
      <c r="B629" s="5"/>
      <c r="C629" s="6"/>
      <c r="AD629" s="7"/>
    </row>
    <row r="630" spans="2:30" ht="13.2" x14ac:dyDescent="0.25">
      <c r="B630" s="5"/>
      <c r="C630" s="6"/>
      <c r="AD630" s="7"/>
    </row>
    <row r="631" spans="2:30" ht="13.2" x14ac:dyDescent="0.25">
      <c r="B631" s="5"/>
      <c r="C631" s="6"/>
      <c r="AD631" s="7"/>
    </row>
    <row r="632" spans="2:30" ht="13.2" x14ac:dyDescent="0.25">
      <c r="B632" s="5"/>
      <c r="C632" s="6"/>
      <c r="AD632" s="7"/>
    </row>
    <row r="633" spans="2:30" ht="13.2" x14ac:dyDescent="0.25">
      <c r="B633" s="5"/>
      <c r="C633" s="6"/>
      <c r="AD633" s="7"/>
    </row>
    <row r="634" spans="2:30" ht="13.2" x14ac:dyDescent="0.25">
      <c r="B634" s="5"/>
      <c r="C634" s="6"/>
      <c r="AD634" s="7"/>
    </row>
    <row r="635" spans="2:30" ht="13.2" x14ac:dyDescent="0.25">
      <c r="B635" s="5"/>
      <c r="C635" s="6"/>
      <c r="AD635" s="7"/>
    </row>
    <row r="636" spans="2:30" ht="13.2" x14ac:dyDescent="0.25">
      <c r="B636" s="5"/>
      <c r="C636" s="6"/>
      <c r="AD636" s="7"/>
    </row>
    <row r="637" spans="2:30" ht="13.2" x14ac:dyDescent="0.25">
      <c r="B637" s="5"/>
      <c r="C637" s="6"/>
      <c r="AD637" s="7"/>
    </row>
    <row r="638" spans="2:30" ht="13.2" x14ac:dyDescent="0.25">
      <c r="B638" s="5"/>
      <c r="C638" s="6"/>
      <c r="AD638" s="7"/>
    </row>
    <row r="639" spans="2:30" ht="13.2" x14ac:dyDescent="0.25">
      <c r="B639" s="5"/>
      <c r="C639" s="6"/>
      <c r="AD639" s="7"/>
    </row>
    <row r="640" spans="2:30" ht="13.2" x14ac:dyDescent="0.25">
      <c r="B640" s="5"/>
      <c r="C640" s="6"/>
      <c r="AD640" s="7"/>
    </row>
    <row r="641" spans="2:30" ht="13.2" x14ac:dyDescent="0.25">
      <c r="B641" s="5"/>
      <c r="C641" s="6"/>
      <c r="AD641" s="7"/>
    </row>
    <row r="642" spans="2:30" ht="13.2" x14ac:dyDescent="0.25">
      <c r="B642" s="5"/>
      <c r="C642" s="6"/>
      <c r="AD642" s="7"/>
    </row>
    <row r="643" spans="2:30" ht="13.2" x14ac:dyDescent="0.25">
      <c r="B643" s="5"/>
      <c r="C643" s="6"/>
      <c r="AD643" s="7"/>
    </row>
    <row r="644" spans="2:30" ht="13.2" x14ac:dyDescent="0.25">
      <c r="B644" s="5"/>
      <c r="C644" s="6"/>
      <c r="AD644" s="7"/>
    </row>
    <row r="645" spans="2:30" ht="13.2" x14ac:dyDescent="0.25">
      <c r="B645" s="5"/>
      <c r="C645" s="6"/>
      <c r="AD645" s="7"/>
    </row>
    <row r="646" spans="2:30" ht="13.2" x14ac:dyDescent="0.25">
      <c r="B646" s="5"/>
      <c r="C646" s="6"/>
      <c r="AD646" s="7"/>
    </row>
    <row r="647" spans="2:30" ht="13.2" x14ac:dyDescent="0.25">
      <c r="B647" s="5"/>
      <c r="C647" s="6"/>
      <c r="AD647" s="7"/>
    </row>
    <row r="648" spans="2:30" ht="13.2" x14ac:dyDescent="0.25">
      <c r="B648" s="5"/>
      <c r="C648" s="6"/>
      <c r="AD648" s="7"/>
    </row>
    <row r="649" spans="2:30" ht="13.2" x14ac:dyDescent="0.25">
      <c r="B649" s="5"/>
      <c r="C649" s="6"/>
      <c r="AD649" s="7"/>
    </row>
    <row r="650" spans="2:30" ht="13.2" x14ac:dyDescent="0.25">
      <c r="B650" s="5"/>
      <c r="C650" s="6"/>
      <c r="AD650" s="7"/>
    </row>
    <row r="651" spans="2:30" ht="13.2" x14ac:dyDescent="0.25">
      <c r="B651" s="5"/>
      <c r="C651" s="6"/>
      <c r="AD651" s="7"/>
    </row>
    <row r="652" spans="2:30" ht="13.2" x14ac:dyDescent="0.25">
      <c r="B652" s="5"/>
      <c r="C652" s="6"/>
      <c r="AD652" s="7"/>
    </row>
    <row r="653" spans="2:30" ht="13.2" x14ac:dyDescent="0.25">
      <c r="B653" s="5"/>
      <c r="C653" s="6"/>
      <c r="AD653" s="7"/>
    </row>
    <row r="654" spans="2:30" ht="13.2" x14ac:dyDescent="0.25">
      <c r="B654" s="5"/>
      <c r="C654" s="6"/>
      <c r="AD654" s="7"/>
    </row>
    <row r="655" spans="2:30" ht="13.2" x14ac:dyDescent="0.25">
      <c r="B655" s="5"/>
      <c r="C655" s="6"/>
      <c r="AD655" s="7"/>
    </row>
    <row r="656" spans="2:30" ht="13.2" x14ac:dyDescent="0.25">
      <c r="B656" s="5"/>
      <c r="C656" s="6"/>
      <c r="AD656" s="7"/>
    </row>
    <row r="657" spans="2:30" ht="13.2" x14ac:dyDescent="0.25">
      <c r="B657" s="5"/>
      <c r="C657" s="6"/>
      <c r="AD657" s="7"/>
    </row>
    <row r="658" spans="2:30" ht="13.2" x14ac:dyDescent="0.25">
      <c r="B658" s="5"/>
      <c r="C658" s="6"/>
      <c r="AD658" s="7"/>
    </row>
    <row r="659" spans="2:30" ht="13.2" x14ac:dyDescent="0.25">
      <c r="B659" s="5"/>
      <c r="C659" s="6"/>
      <c r="AD659" s="7"/>
    </row>
    <row r="660" spans="2:30" ht="13.2" x14ac:dyDescent="0.25">
      <c r="B660" s="5"/>
      <c r="C660" s="6"/>
      <c r="AD660" s="7"/>
    </row>
    <row r="661" spans="2:30" ht="13.2" x14ac:dyDescent="0.25">
      <c r="B661" s="5"/>
      <c r="C661" s="6"/>
      <c r="AD661" s="7"/>
    </row>
    <row r="662" spans="2:30" ht="13.2" x14ac:dyDescent="0.25">
      <c r="B662" s="5"/>
      <c r="C662" s="6"/>
      <c r="AD662" s="7"/>
    </row>
    <row r="663" spans="2:30" ht="13.2" x14ac:dyDescent="0.25">
      <c r="B663" s="5"/>
      <c r="C663" s="6"/>
      <c r="AD663" s="7"/>
    </row>
    <row r="664" spans="2:30" ht="13.2" x14ac:dyDescent="0.25">
      <c r="B664" s="5"/>
      <c r="C664" s="6"/>
      <c r="AD664" s="7"/>
    </row>
    <row r="665" spans="2:30" ht="13.2" x14ac:dyDescent="0.25">
      <c r="B665" s="5"/>
      <c r="C665" s="6"/>
      <c r="AD665" s="7"/>
    </row>
    <row r="666" spans="2:30" ht="13.2" x14ac:dyDescent="0.25">
      <c r="B666" s="5"/>
      <c r="C666" s="6"/>
      <c r="AD666" s="7"/>
    </row>
    <row r="667" spans="2:30" ht="13.2" x14ac:dyDescent="0.25">
      <c r="B667" s="5"/>
      <c r="C667" s="6"/>
      <c r="AD667" s="7"/>
    </row>
    <row r="668" spans="2:30" ht="13.2" x14ac:dyDescent="0.25">
      <c r="B668" s="5"/>
      <c r="C668" s="6"/>
      <c r="AD668" s="7"/>
    </row>
    <row r="669" spans="2:30" ht="13.2" x14ac:dyDescent="0.25">
      <c r="B669" s="5"/>
      <c r="C669" s="6"/>
      <c r="AD669" s="7"/>
    </row>
    <row r="670" spans="2:30" ht="13.2" x14ac:dyDescent="0.25">
      <c r="B670" s="5"/>
      <c r="C670" s="6"/>
      <c r="AD670" s="7"/>
    </row>
    <row r="671" spans="2:30" ht="13.2" x14ac:dyDescent="0.25">
      <c r="B671" s="5"/>
      <c r="C671" s="6"/>
      <c r="AD671" s="7"/>
    </row>
    <row r="672" spans="2:30" ht="13.2" x14ac:dyDescent="0.25">
      <c r="B672" s="5"/>
      <c r="C672" s="6"/>
      <c r="AD672" s="7"/>
    </row>
    <row r="673" spans="2:30" ht="13.2" x14ac:dyDescent="0.25">
      <c r="B673" s="5"/>
      <c r="C673" s="6"/>
      <c r="AD673" s="7"/>
    </row>
    <row r="674" spans="2:30" ht="13.2" x14ac:dyDescent="0.25">
      <c r="B674" s="5"/>
      <c r="C674" s="6"/>
      <c r="AD674" s="7"/>
    </row>
    <row r="675" spans="2:30" ht="13.2" x14ac:dyDescent="0.25">
      <c r="B675" s="5"/>
      <c r="C675" s="6"/>
      <c r="AD675" s="7"/>
    </row>
    <row r="676" spans="2:30" ht="13.2" x14ac:dyDescent="0.25">
      <c r="B676" s="5"/>
      <c r="C676" s="6"/>
      <c r="AD676" s="7"/>
    </row>
    <row r="677" spans="2:30" ht="13.2" x14ac:dyDescent="0.25">
      <c r="B677" s="5"/>
      <c r="C677" s="6"/>
      <c r="AD677" s="7"/>
    </row>
    <row r="678" spans="2:30" ht="13.2" x14ac:dyDescent="0.25">
      <c r="B678" s="5"/>
      <c r="C678" s="6"/>
      <c r="AD678" s="7"/>
    </row>
    <row r="679" spans="2:30" ht="13.2" x14ac:dyDescent="0.25">
      <c r="B679" s="5"/>
      <c r="C679" s="6"/>
      <c r="AD679" s="7"/>
    </row>
    <row r="680" spans="2:30" ht="13.2" x14ac:dyDescent="0.25">
      <c r="B680" s="5"/>
      <c r="C680" s="6"/>
      <c r="AD680" s="7"/>
    </row>
    <row r="681" spans="2:30" ht="13.2" x14ac:dyDescent="0.25">
      <c r="B681" s="5"/>
      <c r="C681" s="6"/>
      <c r="AD681" s="7"/>
    </row>
    <row r="682" spans="2:30" ht="13.2" x14ac:dyDescent="0.25">
      <c r="B682" s="5"/>
      <c r="C682" s="6"/>
      <c r="AD682" s="7"/>
    </row>
    <row r="683" spans="2:30" ht="13.2" x14ac:dyDescent="0.25">
      <c r="B683" s="5"/>
      <c r="C683" s="6"/>
      <c r="AD683" s="7"/>
    </row>
    <row r="684" spans="2:30" ht="13.2" x14ac:dyDescent="0.25">
      <c r="B684" s="5"/>
      <c r="C684" s="6"/>
      <c r="AD684" s="7"/>
    </row>
    <row r="685" spans="2:30" ht="13.2" x14ac:dyDescent="0.25">
      <c r="B685" s="5"/>
      <c r="C685" s="6"/>
      <c r="AD685" s="7"/>
    </row>
    <row r="686" spans="2:30" ht="13.2" x14ac:dyDescent="0.25">
      <c r="B686" s="5"/>
      <c r="C686" s="6"/>
      <c r="AD686" s="7"/>
    </row>
    <row r="687" spans="2:30" ht="13.2" x14ac:dyDescent="0.25">
      <c r="B687" s="5"/>
      <c r="C687" s="6"/>
      <c r="AD687" s="7"/>
    </row>
    <row r="688" spans="2:30" ht="13.2" x14ac:dyDescent="0.25">
      <c r="B688" s="5"/>
      <c r="C688" s="6"/>
      <c r="AD688" s="7"/>
    </row>
    <row r="689" spans="2:30" ht="13.2" x14ac:dyDescent="0.25">
      <c r="B689" s="5"/>
      <c r="C689" s="6"/>
      <c r="AD689" s="7"/>
    </row>
    <row r="690" spans="2:30" ht="13.2" x14ac:dyDescent="0.25">
      <c r="B690" s="5"/>
      <c r="C690" s="6"/>
      <c r="AD690" s="7"/>
    </row>
    <row r="691" spans="2:30" ht="13.2" x14ac:dyDescent="0.25">
      <c r="B691" s="5"/>
      <c r="C691" s="6"/>
      <c r="AD691" s="7"/>
    </row>
    <row r="692" spans="2:30" ht="13.2" x14ac:dyDescent="0.25">
      <c r="B692" s="5"/>
      <c r="C692" s="6"/>
      <c r="AD692" s="7"/>
    </row>
    <row r="693" spans="2:30" ht="13.2" x14ac:dyDescent="0.25">
      <c r="B693" s="5"/>
      <c r="C693" s="6"/>
      <c r="AD693" s="7"/>
    </row>
    <row r="694" spans="2:30" ht="13.2" x14ac:dyDescent="0.25">
      <c r="B694" s="5"/>
      <c r="C694" s="6"/>
      <c r="AD694" s="7"/>
    </row>
    <row r="695" spans="2:30" ht="13.2" x14ac:dyDescent="0.25">
      <c r="B695" s="5"/>
      <c r="C695" s="6"/>
      <c r="AD695" s="7"/>
    </row>
    <row r="696" spans="2:30" ht="13.2" x14ac:dyDescent="0.25">
      <c r="B696" s="5"/>
      <c r="C696" s="6"/>
      <c r="AD696" s="7"/>
    </row>
    <row r="697" spans="2:30" ht="13.2" x14ac:dyDescent="0.25">
      <c r="B697" s="5"/>
      <c r="C697" s="6"/>
      <c r="AD697" s="7"/>
    </row>
    <row r="698" spans="2:30" ht="13.2" x14ac:dyDescent="0.25">
      <c r="B698" s="5"/>
      <c r="C698" s="6"/>
      <c r="AD698" s="7"/>
    </row>
    <row r="699" spans="2:30" ht="13.2" x14ac:dyDescent="0.25">
      <c r="B699" s="5"/>
      <c r="C699" s="6"/>
      <c r="AD699" s="7"/>
    </row>
    <row r="700" spans="2:30" ht="13.2" x14ac:dyDescent="0.25">
      <c r="B700" s="5"/>
      <c r="C700" s="6"/>
      <c r="AD700" s="7"/>
    </row>
    <row r="701" spans="2:30" ht="13.2" x14ac:dyDescent="0.25">
      <c r="B701" s="5"/>
      <c r="C701" s="6"/>
      <c r="AD701" s="7"/>
    </row>
    <row r="702" spans="2:30" ht="13.2" x14ac:dyDescent="0.25">
      <c r="B702" s="5"/>
      <c r="C702" s="6"/>
      <c r="AD702" s="7"/>
    </row>
    <row r="703" spans="2:30" ht="13.2" x14ac:dyDescent="0.25">
      <c r="B703" s="5"/>
      <c r="C703" s="6"/>
      <c r="AD703" s="7"/>
    </row>
    <row r="704" spans="2:30" ht="13.2" x14ac:dyDescent="0.25">
      <c r="B704" s="5"/>
      <c r="C704" s="6"/>
      <c r="AD704" s="7"/>
    </row>
    <row r="705" spans="2:30" ht="13.2" x14ac:dyDescent="0.25">
      <c r="B705" s="5"/>
      <c r="C705" s="6"/>
      <c r="AD705" s="7"/>
    </row>
    <row r="706" spans="2:30" ht="13.2" x14ac:dyDescent="0.25">
      <c r="B706" s="5"/>
      <c r="C706" s="6"/>
      <c r="AD706" s="7"/>
    </row>
    <row r="707" spans="2:30" ht="13.2" x14ac:dyDescent="0.25">
      <c r="B707" s="5"/>
      <c r="C707" s="6"/>
      <c r="AD707" s="7"/>
    </row>
    <row r="708" spans="2:30" ht="13.2" x14ac:dyDescent="0.25">
      <c r="B708" s="5"/>
      <c r="C708" s="6"/>
      <c r="AD708" s="7"/>
    </row>
    <row r="709" spans="2:30" ht="13.2" x14ac:dyDescent="0.25">
      <c r="B709" s="5"/>
      <c r="C709" s="6"/>
      <c r="AD709" s="7"/>
    </row>
    <row r="710" spans="2:30" ht="13.2" x14ac:dyDescent="0.25">
      <c r="B710" s="5"/>
      <c r="C710" s="6"/>
      <c r="AD710" s="7"/>
    </row>
    <row r="711" spans="2:30" ht="13.2" x14ac:dyDescent="0.25">
      <c r="B711" s="5"/>
      <c r="C711" s="6"/>
      <c r="AD711" s="7"/>
    </row>
    <row r="712" spans="2:30" ht="13.2" x14ac:dyDescent="0.25">
      <c r="B712" s="5"/>
      <c r="C712" s="6"/>
      <c r="AD712" s="7"/>
    </row>
    <row r="713" spans="2:30" ht="13.2" x14ac:dyDescent="0.25">
      <c r="B713" s="5"/>
      <c r="C713" s="6"/>
      <c r="AD713" s="7"/>
    </row>
    <row r="714" spans="2:30" ht="13.2" x14ac:dyDescent="0.25">
      <c r="B714" s="5"/>
      <c r="C714" s="6"/>
      <c r="AD714" s="7"/>
    </row>
    <row r="715" spans="2:30" ht="13.2" x14ac:dyDescent="0.25">
      <c r="B715" s="5"/>
      <c r="C715" s="6"/>
      <c r="AD715" s="7"/>
    </row>
    <row r="716" spans="2:30" ht="13.2" x14ac:dyDescent="0.25">
      <c r="B716" s="5"/>
      <c r="C716" s="6"/>
      <c r="AD716" s="7"/>
    </row>
    <row r="717" spans="2:30" ht="13.2" x14ac:dyDescent="0.25">
      <c r="B717" s="5"/>
      <c r="C717" s="6"/>
      <c r="AD717" s="7"/>
    </row>
    <row r="718" spans="2:30" ht="13.2" x14ac:dyDescent="0.25">
      <c r="B718" s="5"/>
      <c r="C718" s="6"/>
      <c r="AD718" s="7"/>
    </row>
    <row r="719" spans="2:30" ht="13.2" x14ac:dyDescent="0.25">
      <c r="B719" s="5"/>
      <c r="C719" s="6"/>
      <c r="AD719" s="7"/>
    </row>
    <row r="720" spans="2:30" ht="13.2" x14ac:dyDescent="0.25">
      <c r="B720" s="5"/>
      <c r="C720" s="6"/>
      <c r="AD720" s="7"/>
    </row>
    <row r="721" spans="2:30" ht="13.2" x14ac:dyDescent="0.25">
      <c r="B721" s="5"/>
      <c r="C721" s="6"/>
      <c r="AD721" s="7"/>
    </row>
    <row r="722" spans="2:30" ht="13.2" x14ac:dyDescent="0.25">
      <c r="B722" s="5"/>
      <c r="C722" s="6"/>
      <c r="AD722" s="7"/>
    </row>
    <row r="723" spans="2:30" ht="13.2" x14ac:dyDescent="0.25">
      <c r="B723" s="5"/>
      <c r="C723" s="6"/>
      <c r="AD723" s="7"/>
    </row>
    <row r="724" spans="2:30" ht="13.2" x14ac:dyDescent="0.25">
      <c r="B724" s="5"/>
      <c r="C724" s="6"/>
      <c r="AD724" s="7"/>
    </row>
    <row r="725" spans="2:30" ht="13.2" x14ac:dyDescent="0.25">
      <c r="B725" s="5"/>
      <c r="C725" s="6"/>
      <c r="AD725" s="7"/>
    </row>
    <row r="726" spans="2:30" ht="13.2" x14ac:dyDescent="0.25">
      <c r="B726" s="5"/>
      <c r="C726" s="6"/>
      <c r="AD726" s="7"/>
    </row>
    <row r="727" spans="2:30" ht="13.2" x14ac:dyDescent="0.25">
      <c r="B727" s="5"/>
      <c r="C727" s="6"/>
      <c r="AD727" s="7"/>
    </row>
    <row r="728" spans="2:30" ht="13.2" x14ac:dyDescent="0.25">
      <c r="B728" s="5"/>
      <c r="C728" s="6"/>
      <c r="AD728" s="7"/>
    </row>
    <row r="729" spans="2:30" ht="13.2" x14ac:dyDescent="0.25">
      <c r="B729" s="5"/>
      <c r="C729" s="6"/>
      <c r="AD729" s="7"/>
    </row>
    <row r="730" spans="2:30" ht="13.2" x14ac:dyDescent="0.25">
      <c r="B730" s="5"/>
      <c r="C730" s="6"/>
      <c r="AD730" s="7"/>
    </row>
    <row r="731" spans="2:30" ht="13.2" x14ac:dyDescent="0.25">
      <c r="B731" s="5"/>
      <c r="C731" s="6"/>
      <c r="AD731" s="7"/>
    </row>
    <row r="732" spans="2:30" ht="13.2" x14ac:dyDescent="0.25">
      <c r="B732" s="5"/>
      <c r="C732" s="6"/>
      <c r="AD732" s="7"/>
    </row>
    <row r="733" spans="2:30" ht="13.2" x14ac:dyDescent="0.25">
      <c r="B733" s="5"/>
      <c r="C733" s="6"/>
      <c r="AD733" s="7"/>
    </row>
    <row r="734" spans="2:30" ht="13.2" x14ac:dyDescent="0.25">
      <c r="B734" s="5"/>
      <c r="C734" s="6"/>
      <c r="AD734" s="7"/>
    </row>
    <row r="735" spans="2:30" ht="13.2" x14ac:dyDescent="0.25">
      <c r="B735" s="5"/>
      <c r="C735" s="6"/>
      <c r="AD735" s="7"/>
    </row>
    <row r="736" spans="2:30" ht="13.2" x14ac:dyDescent="0.25">
      <c r="B736" s="5"/>
      <c r="C736" s="6"/>
      <c r="AD736" s="7"/>
    </row>
    <row r="737" spans="2:30" ht="13.2" x14ac:dyDescent="0.25">
      <c r="B737" s="5"/>
      <c r="C737" s="6"/>
      <c r="AD737" s="7"/>
    </row>
    <row r="738" spans="2:30" ht="13.2" x14ac:dyDescent="0.25">
      <c r="B738" s="5"/>
      <c r="C738" s="6"/>
      <c r="AD738" s="7"/>
    </row>
    <row r="739" spans="2:30" ht="13.2" x14ac:dyDescent="0.25">
      <c r="B739" s="5"/>
      <c r="C739" s="6"/>
      <c r="AD739" s="7"/>
    </row>
    <row r="740" spans="2:30" ht="13.2" x14ac:dyDescent="0.25">
      <c r="B740" s="5"/>
      <c r="C740" s="6"/>
      <c r="AD740" s="7"/>
    </row>
    <row r="741" spans="2:30" ht="13.2" x14ac:dyDescent="0.25">
      <c r="B741" s="5"/>
      <c r="C741" s="6"/>
      <c r="AD741" s="7"/>
    </row>
    <row r="742" spans="2:30" ht="13.2" x14ac:dyDescent="0.25">
      <c r="B742" s="5"/>
      <c r="C742" s="6"/>
      <c r="AD742" s="7"/>
    </row>
    <row r="743" spans="2:30" ht="13.2" x14ac:dyDescent="0.25">
      <c r="B743" s="5"/>
      <c r="C743" s="6"/>
      <c r="AD743" s="7"/>
    </row>
    <row r="744" spans="2:30" ht="13.2" x14ac:dyDescent="0.25">
      <c r="B744" s="5"/>
      <c r="C744" s="6"/>
      <c r="AD744" s="7"/>
    </row>
    <row r="745" spans="2:30" ht="13.2" x14ac:dyDescent="0.25">
      <c r="B745" s="5"/>
      <c r="C745" s="6"/>
      <c r="AD745" s="7"/>
    </row>
    <row r="746" spans="2:30" ht="13.2" x14ac:dyDescent="0.25">
      <c r="B746" s="5"/>
      <c r="C746" s="6"/>
      <c r="AD746" s="7"/>
    </row>
    <row r="747" spans="2:30" ht="13.2" x14ac:dyDescent="0.25">
      <c r="B747" s="5"/>
      <c r="C747" s="6"/>
      <c r="AD747" s="7"/>
    </row>
    <row r="748" spans="2:30" ht="13.2" x14ac:dyDescent="0.25">
      <c r="B748" s="5"/>
      <c r="C748" s="6"/>
      <c r="AD748" s="7"/>
    </row>
    <row r="749" spans="2:30" ht="13.2" x14ac:dyDescent="0.25">
      <c r="B749" s="5"/>
      <c r="C749" s="6"/>
      <c r="AD749" s="7"/>
    </row>
    <row r="750" spans="2:30" ht="13.2" x14ac:dyDescent="0.25">
      <c r="B750" s="5"/>
      <c r="C750" s="6"/>
      <c r="AD750" s="7"/>
    </row>
    <row r="751" spans="2:30" ht="13.2" x14ac:dyDescent="0.25">
      <c r="B751" s="5"/>
      <c r="C751" s="6"/>
      <c r="AD751" s="7"/>
    </row>
    <row r="752" spans="2:30" ht="13.2" x14ac:dyDescent="0.25">
      <c r="B752" s="5"/>
      <c r="C752" s="6"/>
      <c r="AD752" s="7"/>
    </row>
    <row r="753" spans="2:30" ht="13.2" x14ac:dyDescent="0.25">
      <c r="B753" s="5"/>
      <c r="C753" s="6"/>
      <c r="AD753" s="7"/>
    </row>
    <row r="754" spans="2:30" ht="13.2" x14ac:dyDescent="0.25">
      <c r="B754" s="5"/>
      <c r="C754" s="6"/>
      <c r="AD754" s="7"/>
    </row>
    <row r="755" spans="2:30" ht="13.2" x14ac:dyDescent="0.25">
      <c r="B755" s="5"/>
      <c r="C755" s="6"/>
      <c r="AD755" s="7"/>
    </row>
    <row r="756" spans="2:30" ht="13.2" x14ac:dyDescent="0.25">
      <c r="B756" s="5"/>
      <c r="C756" s="6"/>
      <c r="AD756" s="7"/>
    </row>
    <row r="757" spans="2:30" ht="13.2" x14ac:dyDescent="0.25">
      <c r="B757" s="5"/>
      <c r="C757" s="6"/>
      <c r="AD757" s="7"/>
    </row>
    <row r="758" spans="2:30" ht="13.2" x14ac:dyDescent="0.25">
      <c r="B758" s="5"/>
      <c r="C758" s="6"/>
      <c r="AD758" s="7"/>
    </row>
    <row r="759" spans="2:30" ht="13.2" x14ac:dyDescent="0.25">
      <c r="B759" s="5"/>
      <c r="C759" s="6"/>
      <c r="AD759" s="7"/>
    </row>
    <row r="760" spans="2:30" ht="13.2" x14ac:dyDescent="0.25">
      <c r="B760" s="5"/>
      <c r="C760" s="6"/>
      <c r="AD760" s="7"/>
    </row>
    <row r="761" spans="2:30" ht="13.2" x14ac:dyDescent="0.25">
      <c r="B761" s="5"/>
      <c r="C761" s="6"/>
      <c r="AD761" s="7"/>
    </row>
    <row r="762" spans="2:30" ht="13.2" x14ac:dyDescent="0.25">
      <c r="B762" s="5"/>
      <c r="C762" s="6"/>
      <c r="AD762" s="7"/>
    </row>
    <row r="763" spans="2:30" ht="13.2" x14ac:dyDescent="0.25">
      <c r="B763" s="5"/>
      <c r="C763" s="6"/>
      <c r="AD763" s="7"/>
    </row>
    <row r="764" spans="2:30" ht="13.2" x14ac:dyDescent="0.25">
      <c r="B764" s="5"/>
      <c r="C764" s="6"/>
      <c r="AD764" s="7"/>
    </row>
    <row r="765" spans="2:30" ht="13.2" x14ac:dyDescent="0.25">
      <c r="B765" s="5"/>
      <c r="C765" s="6"/>
      <c r="AD765" s="7"/>
    </row>
    <row r="766" spans="2:30" ht="13.2" x14ac:dyDescent="0.25">
      <c r="B766" s="5"/>
      <c r="C766" s="6"/>
      <c r="AD766" s="7"/>
    </row>
    <row r="767" spans="2:30" ht="13.2" x14ac:dyDescent="0.25">
      <c r="B767" s="5"/>
      <c r="C767" s="6"/>
      <c r="AD767" s="7"/>
    </row>
    <row r="768" spans="2:30" ht="13.2" x14ac:dyDescent="0.25">
      <c r="B768" s="5"/>
      <c r="C768" s="6"/>
      <c r="AD768" s="7"/>
    </row>
    <row r="769" spans="2:30" ht="13.2" x14ac:dyDescent="0.25">
      <c r="B769" s="5"/>
      <c r="C769" s="6"/>
      <c r="AD769" s="7"/>
    </row>
    <row r="770" spans="2:30" ht="13.2" x14ac:dyDescent="0.25">
      <c r="B770" s="5"/>
      <c r="C770" s="6"/>
      <c r="AD770" s="7"/>
    </row>
    <row r="771" spans="2:30" ht="13.2" x14ac:dyDescent="0.25">
      <c r="B771" s="5"/>
      <c r="C771" s="6"/>
      <c r="AD771" s="7"/>
    </row>
    <row r="772" spans="2:30" ht="13.2" x14ac:dyDescent="0.25">
      <c r="B772" s="5"/>
      <c r="C772" s="6"/>
      <c r="AD772" s="7"/>
    </row>
    <row r="773" spans="2:30" ht="13.2" x14ac:dyDescent="0.25">
      <c r="B773" s="5"/>
      <c r="C773" s="6"/>
      <c r="AD773" s="7"/>
    </row>
    <row r="774" spans="2:30" ht="13.2" x14ac:dyDescent="0.25">
      <c r="B774" s="5"/>
      <c r="C774" s="6"/>
      <c r="AD774" s="7"/>
    </row>
    <row r="775" spans="2:30" ht="13.2" x14ac:dyDescent="0.25">
      <c r="B775" s="5"/>
      <c r="C775" s="6"/>
      <c r="AD775" s="7"/>
    </row>
    <row r="776" spans="2:30" ht="13.2" x14ac:dyDescent="0.25">
      <c r="B776" s="5"/>
      <c r="C776" s="6"/>
      <c r="AD776" s="7"/>
    </row>
    <row r="777" spans="2:30" ht="13.2" x14ac:dyDescent="0.25">
      <c r="B777" s="5"/>
      <c r="C777" s="6"/>
      <c r="AD777" s="7"/>
    </row>
    <row r="778" spans="2:30" ht="13.2" x14ac:dyDescent="0.25">
      <c r="B778" s="5"/>
      <c r="C778" s="6"/>
      <c r="AD778" s="7"/>
    </row>
    <row r="779" spans="2:30" ht="13.2" x14ac:dyDescent="0.25">
      <c r="B779" s="5"/>
      <c r="C779" s="6"/>
      <c r="AD779" s="7"/>
    </row>
    <row r="780" spans="2:30" ht="13.2" x14ac:dyDescent="0.25">
      <c r="B780" s="5"/>
      <c r="C780" s="6"/>
      <c r="AD780" s="7"/>
    </row>
    <row r="781" spans="2:30" ht="13.2" x14ac:dyDescent="0.25">
      <c r="B781" s="5"/>
      <c r="C781" s="6"/>
      <c r="AD781" s="7"/>
    </row>
    <row r="782" spans="2:30" ht="13.2" x14ac:dyDescent="0.25">
      <c r="B782" s="5"/>
      <c r="C782" s="6"/>
      <c r="AD782" s="7"/>
    </row>
    <row r="783" spans="2:30" ht="13.2" x14ac:dyDescent="0.25">
      <c r="B783" s="5"/>
      <c r="C783" s="6"/>
      <c r="AD783" s="7"/>
    </row>
    <row r="784" spans="2:30" ht="13.2" x14ac:dyDescent="0.25">
      <c r="B784" s="5"/>
      <c r="C784" s="6"/>
      <c r="AD784" s="7"/>
    </row>
    <row r="785" spans="2:30" ht="13.2" x14ac:dyDescent="0.25">
      <c r="B785" s="5"/>
      <c r="C785" s="6"/>
      <c r="AD785" s="7"/>
    </row>
    <row r="786" spans="2:30" ht="13.2" x14ac:dyDescent="0.25">
      <c r="B786" s="5"/>
      <c r="C786" s="6"/>
      <c r="AD786" s="7"/>
    </row>
    <row r="787" spans="2:30" ht="13.2" x14ac:dyDescent="0.25">
      <c r="B787" s="5"/>
      <c r="C787" s="6"/>
      <c r="AD787" s="7"/>
    </row>
    <row r="788" spans="2:30" ht="13.2" x14ac:dyDescent="0.25">
      <c r="B788" s="5"/>
      <c r="C788" s="6"/>
      <c r="AD788" s="7"/>
    </row>
    <row r="789" spans="2:30" ht="13.2" x14ac:dyDescent="0.25">
      <c r="B789" s="5"/>
      <c r="C789" s="6"/>
      <c r="AD789" s="7"/>
    </row>
    <row r="790" spans="2:30" ht="13.2" x14ac:dyDescent="0.25">
      <c r="B790" s="5"/>
      <c r="C790" s="6"/>
      <c r="AD790" s="7"/>
    </row>
    <row r="791" spans="2:30" ht="13.2" x14ac:dyDescent="0.25">
      <c r="B791" s="5"/>
      <c r="C791" s="6"/>
      <c r="AD791" s="7"/>
    </row>
    <row r="792" spans="2:30" ht="13.2" x14ac:dyDescent="0.25">
      <c r="B792" s="5"/>
      <c r="C792" s="6"/>
      <c r="AD792" s="7"/>
    </row>
    <row r="793" spans="2:30" ht="13.2" x14ac:dyDescent="0.25">
      <c r="B793" s="5"/>
      <c r="C793" s="6"/>
      <c r="AD793" s="7"/>
    </row>
    <row r="794" spans="2:30" ht="13.2" x14ac:dyDescent="0.25">
      <c r="B794" s="5"/>
      <c r="C794" s="6"/>
      <c r="AD794" s="7"/>
    </row>
    <row r="795" spans="2:30" ht="13.2" x14ac:dyDescent="0.25">
      <c r="B795" s="5"/>
      <c r="C795" s="6"/>
      <c r="AD795" s="7"/>
    </row>
    <row r="796" spans="2:30" ht="13.2" x14ac:dyDescent="0.25">
      <c r="B796" s="5"/>
      <c r="C796" s="6"/>
      <c r="AD796" s="7"/>
    </row>
    <row r="797" spans="2:30" ht="13.2" x14ac:dyDescent="0.25">
      <c r="B797" s="5"/>
      <c r="C797" s="6"/>
      <c r="AD797" s="7"/>
    </row>
    <row r="798" spans="2:30" ht="13.2" x14ac:dyDescent="0.25">
      <c r="B798" s="5"/>
      <c r="C798" s="6"/>
      <c r="AD798" s="7"/>
    </row>
    <row r="799" spans="2:30" ht="13.2" x14ac:dyDescent="0.25">
      <c r="B799" s="5"/>
      <c r="C799" s="6"/>
      <c r="AD799" s="7"/>
    </row>
    <row r="800" spans="2:30" ht="13.2" x14ac:dyDescent="0.25">
      <c r="B800" s="5"/>
      <c r="C800" s="6"/>
      <c r="AD800" s="7"/>
    </row>
    <row r="801" spans="2:30" ht="13.2" x14ac:dyDescent="0.25">
      <c r="B801" s="5"/>
      <c r="C801" s="6"/>
      <c r="AD801" s="7"/>
    </row>
    <row r="802" spans="2:30" ht="13.2" x14ac:dyDescent="0.25">
      <c r="B802" s="5"/>
      <c r="C802" s="6"/>
      <c r="AD802" s="7"/>
    </row>
    <row r="803" spans="2:30" ht="13.2" x14ac:dyDescent="0.25">
      <c r="B803" s="5"/>
      <c r="C803" s="6"/>
      <c r="AD803" s="7"/>
    </row>
    <row r="804" spans="2:30" ht="13.2" x14ac:dyDescent="0.25">
      <c r="B804" s="5"/>
      <c r="C804" s="6"/>
      <c r="AD804" s="7"/>
    </row>
    <row r="805" spans="2:30" ht="13.2" x14ac:dyDescent="0.25">
      <c r="B805" s="5"/>
      <c r="C805" s="6"/>
      <c r="AD805" s="7"/>
    </row>
    <row r="806" spans="2:30" ht="13.2" x14ac:dyDescent="0.25">
      <c r="B806" s="5"/>
      <c r="C806" s="6"/>
      <c r="AD806" s="7"/>
    </row>
    <row r="807" spans="2:30" ht="13.2" x14ac:dyDescent="0.25">
      <c r="B807" s="5"/>
      <c r="C807" s="6"/>
      <c r="AD807" s="7"/>
    </row>
    <row r="808" spans="2:30" ht="13.2" x14ac:dyDescent="0.25">
      <c r="B808" s="5"/>
      <c r="C808" s="6"/>
      <c r="AD808" s="7"/>
    </row>
    <row r="809" spans="2:30" ht="13.2" x14ac:dyDescent="0.25">
      <c r="B809" s="5"/>
      <c r="C809" s="6"/>
      <c r="AD809" s="7"/>
    </row>
    <row r="810" spans="2:30" ht="13.2" x14ac:dyDescent="0.25">
      <c r="B810" s="5"/>
      <c r="C810" s="6"/>
      <c r="AD810" s="7"/>
    </row>
    <row r="811" spans="2:30" ht="13.2" x14ac:dyDescent="0.25">
      <c r="B811" s="5"/>
      <c r="C811" s="6"/>
      <c r="AD811" s="7"/>
    </row>
    <row r="812" spans="2:30" ht="13.2" x14ac:dyDescent="0.25">
      <c r="B812" s="5"/>
      <c r="C812" s="6"/>
      <c r="AD812" s="7"/>
    </row>
    <row r="813" spans="2:30" ht="13.2" x14ac:dyDescent="0.25">
      <c r="B813" s="5"/>
      <c r="C813" s="6"/>
      <c r="AD813" s="7"/>
    </row>
    <row r="814" spans="2:30" ht="13.2" x14ac:dyDescent="0.25">
      <c r="B814" s="5"/>
      <c r="C814" s="6"/>
      <c r="AD814" s="7"/>
    </row>
    <row r="815" spans="2:30" ht="13.2" x14ac:dyDescent="0.25">
      <c r="B815" s="5"/>
      <c r="C815" s="6"/>
      <c r="AD815" s="7"/>
    </row>
    <row r="816" spans="2:30" ht="13.2" x14ac:dyDescent="0.25">
      <c r="B816" s="5"/>
      <c r="C816" s="6"/>
      <c r="AD816" s="7"/>
    </row>
    <row r="817" spans="2:30" ht="13.2" x14ac:dyDescent="0.25">
      <c r="B817" s="5"/>
      <c r="C817" s="6"/>
      <c r="AD817" s="7"/>
    </row>
    <row r="818" spans="2:30" ht="13.2" x14ac:dyDescent="0.25">
      <c r="B818" s="5"/>
      <c r="C818" s="6"/>
      <c r="AD818" s="7"/>
    </row>
    <row r="819" spans="2:30" ht="13.2" x14ac:dyDescent="0.25">
      <c r="B819" s="5"/>
      <c r="C819" s="6"/>
      <c r="AD819" s="7"/>
    </row>
    <row r="820" spans="2:30" ht="13.2" x14ac:dyDescent="0.25">
      <c r="B820" s="5"/>
      <c r="C820" s="6"/>
      <c r="AD820" s="7"/>
    </row>
    <row r="821" spans="2:30" ht="13.2" x14ac:dyDescent="0.25">
      <c r="B821" s="5"/>
      <c r="C821" s="6"/>
      <c r="AD821" s="7"/>
    </row>
    <row r="822" spans="2:30" ht="13.2" x14ac:dyDescent="0.25">
      <c r="B822" s="5"/>
      <c r="C822" s="6"/>
      <c r="AD822" s="7"/>
    </row>
    <row r="823" spans="2:30" ht="13.2" x14ac:dyDescent="0.25">
      <c r="B823" s="5"/>
      <c r="C823" s="6"/>
      <c r="AD823" s="7"/>
    </row>
    <row r="824" spans="2:30" ht="13.2" x14ac:dyDescent="0.25">
      <c r="B824" s="5"/>
      <c r="C824" s="6"/>
      <c r="AD824" s="7"/>
    </row>
    <row r="825" spans="2:30" ht="13.2" x14ac:dyDescent="0.25">
      <c r="B825" s="5"/>
      <c r="C825" s="6"/>
      <c r="AD825" s="7"/>
    </row>
    <row r="826" spans="2:30" ht="13.2" x14ac:dyDescent="0.25">
      <c r="B826" s="5"/>
      <c r="C826" s="6"/>
      <c r="AD826" s="7"/>
    </row>
    <row r="827" spans="2:30" ht="13.2" x14ac:dyDescent="0.25">
      <c r="B827" s="5"/>
      <c r="C827" s="6"/>
      <c r="AD827" s="7"/>
    </row>
    <row r="828" spans="2:30" ht="13.2" x14ac:dyDescent="0.25">
      <c r="B828" s="5"/>
      <c r="C828" s="6"/>
      <c r="AD828" s="7"/>
    </row>
    <row r="829" spans="2:30" ht="13.2" x14ac:dyDescent="0.25">
      <c r="B829" s="5"/>
      <c r="C829" s="6"/>
      <c r="AD829" s="7"/>
    </row>
    <row r="830" spans="2:30" ht="13.2" x14ac:dyDescent="0.25">
      <c r="B830" s="5"/>
      <c r="C830" s="6"/>
      <c r="AD830" s="7"/>
    </row>
    <row r="831" spans="2:30" ht="13.2" x14ac:dyDescent="0.25">
      <c r="B831" s="5"/>
      <c r="C831" s="6"/>
      <c r="AD831" s="7"/>
    </row>
    <row r="832" spans="2:30" ht="13.2" x14ac:dyDescent="0.25">
      <c r="B832" s="5"/>
      <c r="C832" s="6"/>
      <c r="AD832" s="7"/>
    </row>
    <row r="833" spans="2:30" ht="13.2" x14ac:dyDescent="0.25">
      <c r="B833" s="5"/>
      <c r="C833" s="6"/>
      <c r="AD833" s="7"/>
    </row>
    <row r="834" spans="2:30" ht="13.2" x14ac:dyDescent="0.25">
      <c r="B834" s="5"/>
      <c r="C834" s="6"/>
      <c r="AD834" s="7"/>
    </row>
    <row r="835" spans="2:30" ht="13.2" x14ac:dyDescent="0.25">
      <c r="B835" s="5"/>
      <c r="C835" s="6"/>
      <c r="AD835" s="7"/>
    </row>
    <row r="836" spans="2:30" ht="13.2" x14ac:dyDescent="0.25">
      <c r="B836" s="5"/>
      <c r="C836" s="6"/>
      <c r="AD836" s="7"/>
    </row>
    <row r="837" spans="2:30" ht="13.2" x14ac:dyDescent="0.25">
      <c r="B837" s="5"/>
      <c r="C837" s="6"/>
      <c r="AD837" s="7"/>
    </row>
    <row r="838" spans="2:30" ht="13.2" x14ac:dyDescent="0.25">
      <c r="B838" s="5"/>
      <c r="C838" s="6"/>
      <c r="AD838" s="7"/>
    </row>
    <row r="839" spans="2:30" ht="13.2" x14ac:dyDescent="0.25">
      <c r="B839" s="5"/>
      <c r="C839" s="6"/>
      <c r="AD839" s="7"/>
    </row>
    <row r="840" spans="2:30" ht="13.2" x14ac:dyDescent="0.25">
      <c r="B840" s="5"/>
      <c r="C840" s="6"/>
      <c r="AD840" s="7"/>
    </row>
    <row r="841" spans="2:30" ht="13.2" x14ac:dyDescent="0.25">
      <c r="B841" s="5"/>
      <c r="C841" s="6"/>
      <c r="AD841" s="7"/>
    </row>
    <row r="842" spans="2:30" ht="13.2" x14ac:dyDescent="0.25">
      <c r="B842" s="5"/>
      <c r="C842" s="6"/>
      <c r="AD842" s="7"/>
    </row>
    <row r="843" spans="2:30" ht="13.2" x14ac:dyDescent="0.25">
      <c r="B843" s="5"/>
      <c r="C843" s="6"/>
      <c r="AD843" s="7"/>
    </row>
    <row r="844" spans="2:30" ht="13.2" x14ac:dyDescent="0.25">
      <c r="B844" s="5"/>
      <c r="C844" s="6"/>
      <c r="AD844" s="7"/>
    </row>
    <row r="845" spans="2:30" ht="13.2" x14ac:dyDescent="0.25">
      <c r="B845" s="5"/>
      <c r="C845" s="6"/>
      <c r="AD845" s="7"/>
    </row>
    <row r="846" spans="2:30" ht="13.2" x14ac:dyDescent="0.25">
      <c r="B846" s="5"/>
      <c r="C846" s="6"/>
      <c r="AD846" s="7"/>
    </row>
    <row r="847" spans="2:30" ht="13.2" x14ac:dyDescent="0.25">
      <c r="B847" s="5"/>
      <c r="C847" s="6"/>
      <c r="AD847" s="7"/>
    </row>
    <row r="848" spans="2:30" ht="13.2" x14ac:dyDescent="0.25">
      <c r="B848" s="5"/>
      <c r="C848" s="6"/>
      <c r="AD848" s="7"/>
    </row>
    <row r="849" spans="2:30" ht="13.2" x14ac:dyDescent="0.25">
      <c r="B849" s="5"/>
      <c r="C849" s="6"/>
      <c r="AD849" s="7"/>
    </row>
    <row r="850" spans="2:30" ht="13.2" x14ac:dyDescent="0.25">
      <c r="B850" s="5"/>
      <c r="C850" s="6"/>
      <c r="AD850" s="7"/>
    </row>
    <row r="851" spans="2:30" ht="13.2" x14ac:dyDescent="0.25">
      <c r="B851" s="5"/>
      <c r="C851" s="6"/>
      <c r="AD851" s="7"/>
    </row>
    <row r="852" spans="2:30" ht="13.2" x14ac:dyDescent="0.25">
      <c r="B852" s="5"/>
      <c r="C852" s="6"/>
      <c r="AD852" s="7"/>
    </row>
    <row r="853" spans="2:30" ht="13.2" x14ac:dyDescent="0.25">
      <c r="B853" s="5"/>
      <c r="C853" s="6"/>
      <c r="AD853" s="7"/>
    </row>
    <row r="854" spans="2:30" ht="13.2" x14ac:dyDescent="0.25">
      <c r="B854" s="5"/>
      <c r="C854" s="6"/>
      <c r="AD854" s="7"/>
    </row>
    <row r="855" spans="2:30" ht="13.2" x14ac:dyDescent="0.25">
      <c r="B855" s="5"/>
      <c r="C855" s="6"/>
      <c r="AD855" s="7"/>
    </row>
    <row r="856" spans="2:30" ht="13.2" x14ac:dyDescent="0.25">
      <c r="B856" s="5"/>
      <c r="C856" s="6"/>
      <c r="AD856" s="7"/>
    </row>
    <row r="857" spans="2:30" ht="13.2" x14ac:dyDescent="0.25">
      <c r="B857" s="5"/>
      <c r="C857" s="6"/>
      <c r="AD857" s="7"/>
    </row>
    <row r="858" spans="2:30" ht="13.2" x14ac:dyDescent="0.25">
      <c r="B858" s="5"/>
      <c r="C858" s="6"/>
      <c r="AD858" s="7"/>
    </row>
    <row r="859" spans="2:30" ht="13.2" x14ac:dyDescent="0.25">
      <c r="B859" s="5"/>
      <c r="C859" s="6"/>
      <c r="AD859" s="7"/>
    </row>
    <row r="860" spans="2:30" ht="13.2" x14ac:dyDescent="0.25">
      <c r="B860" s="5"/>
      <c r="C860" s="6"/>
      <c r="AD860" s="7"/>
    </row>
    <row r="861" spans="2:30" ht="13.2" x14ac:dyDescent="0.25">
      <c r="B861" s="5"/>
      <c r="C861" s="6"/>
      <c r="AD861" s="7"/>
    </row>
    <row r="862" spans="2:30" ht="13.2" x14ac:dyDescent="0.25">
      <c r="B862" s="5"/>
      <c r="C862" s="6"/>
      <c r="AD862" s="7"/>
    </row>
    <row r="863" spans="2:30" ht="13.2" x14ac:dyDescent="0.25">
      <c r="B863" s="5"/>
      <c r="C863" s="6"/>
      <c r="AD863" s="7"/>
    </row>
    <row r="864" spans="2:30" ht="13.2" x14ac:dyDescent="0.25">
      <c r="B864" s="5"/>
      <c r="C864" s="6"/>
      <c r="AD864" s="7"/>
    </row>
    <row r="865" spans="2:30" ht="13.2" x14ac:dyDescent="0.25">
      <c r="B865" s="5"/>
      <c r="C865" s="6"/>
      <c r="AD865" s="7"/>
    </row>
    <row r="866" spans="2:30" ht="13.2" x14ac:dyDescent="0.25">
      <c r="B866" s="5"/>
      <c r="C866" s="6"/>
      <c r="AD866" s="7"/>
    </row>
    <row r="867" spans="2:30" ht="13.2" x14ac:dyDescent="0.25">
      <c r="B867" s="5"/>
      <c r="C867" s="6"/>
      <c r="AD867" s="7"/>
    </row>
    <row r="868" spans="2:30" ht="13.2" x14ac:dyDescent="0.25">
      <c r="B868" s="5"/>
      <c r="C868" s="6"/>
      <c r="AD868" s="7"/>
    </row>
    <row r="869" spans="2:30" ht="13.2" x14ac:dyDescent="0.25">
      <c r="B869" s="5"/>
      <c r="C869" s="6"/>
      <c r="AD869" s="7"/>
    </row>
    <row r="870" spans="2:30" ht="13.2" x14ac:dyDescent="0.25">
      <c r="B870" s="5"/>
      <c r="C870" s="6"/>
      <c r="AD870" s="7"/>
    </row>
    <row r="871" spans="2:30" ht="13.2" x14ac:dyDescent="0.25">
      <c r="B871" s="5"/>
      <c r="C871" s="6"/>
      <c r="AD871" s="7"/>
    </row>
    <row r="872" spans="2:30" ht="13.2" x14ac:dyDescent="0.25">
      <c r="B872" s="5"/>
      <c r="C872" s="6"/>
      <c r="AD872" s="7"/>
    </row>
    <row r="873" spans="2:30" ht="13.2" x14ac:dyDescent="0.25">
      <c r="B873" s="5"/>
      <c r="C873" s="6"/>
      <c r="AD873" s="7"/>
    </row>
    <row r="874" spans="2:30" ht="13.2" x14ac:dyDescent="0.25">
      <c r="B874" s="5"/>
      <c r="C874" s="6"/>
      <c r="AD874" s="7"/>
    </row>
    <row r="875" spans="2:30" ht="13.2" x14ac:dyDescent="0.25">
      <c r="B875" s="5"/>
      <c r="C875" s="6"/>
      <c r="AD875" s="7"/>
    </row>
    <row r="876" spans="2:30" ht="13.2" x14ac:dyDescent="0.25">
      <c r="B876" s="5"/>
      <c r="C876" s="6"/>
      <c r="AD876" s="7"/>
    </row>
    <row r="877" spans="2:30" ht="13.2" x14ac:dyDescent="0.25">
      <c r="B877" s="5"/>
      <c r="C877" s="6"/>
      <c r="AD877" s="7"/>
    </row>
    <row r="878" spans="2:30" ht="13.2" x14ac:dyDescent="0.25">
      <c r="B878" s="5"/>
      <c r="C878" s="6"/>
      <c r="AD878" s="7"/>
    </row>
    <row r="879" spans="2:30" ht="13.2" x14ac:dyDescent="0.25">
      <c r="B879" s="5"/>
      <c r="C879" s="6"/>
      <c r="AD879" s="7"/>
    </row>
    <row r="880" spans="2:30" ht="13.2" x14ac:dyDescent="0.25">
      <c r="B880" s="5"/>
      <c r="C880" s="6"/>
      <c r="AD880" s="7"/>
    </row>
    <row r="881" spans="2:30" ht="13.2" x14ac:dyDescent="0.25">
      <c r="B881" s="5"/>
      <c r="C881" s="6"/>
      <c r="AD881" s="7"/>
    </row>
    <row r="882" spans="2:30" ht="13.2" x14ac:dyDescent="0.25">
      <c r="B882" s="5"/>
      <c r="C882" s="6"/>
      <c r="AD882" s="7"/>
    </row>
    <row r="883" spans="2:30" ht="13.2" x14ac:dyDescent="0.25">
      <c r="B883" s="5"/>
      <c r="C883" s="6"/>
      <c r="AD883" s="7"/>
    </row>
    <row r="884" spans="2:30" ht="13.2" x14ac:dyDescent="0.25">
      <c r="B884" s="5"/>
      <c r="C884" s="6"/>
      <c r="AD884" s="7"/>
    </row>
    <row r="885" spans="2:30" ht="13.2" x14ac:dyDescent="0.25">
      <c r="B885" s="5"/>
      <c r="C885" s="6"/>
      <c r="AD885" s="7"/>
    </row>
    <row r="886" spans="2:30" ht="13.2" x14ac:dyDescent="0.25">
      <c r="B886" s="5"/>
      <c r="C886" s="6"/>
      <c r="AD886" s="7"/>
    </row>
    <row r="887" spans="2:30" ht="13.2" x14ac:dyDescent="0.25">
      <c r="B887" s="5"/>
      <c r="C887" s="6"/>
      <c r="AD887" s="7"/>
    </row>
    <row r="888" spans="2:30" ht="13.2" x14ac:dyDescent="0.25">
      <c r="B888" s="5"/>
      <c r="C888" s="6"/>
      <c r="AD888" s="7"/>
    </row>
    <row r="889" spans="2:30" ht="13.2" x14ac:dyDescent="0.25">
      <c r="B889" s="5"/>
      <c r="C889" s="6"/>
      <c r="AD889" s="7"/>
    </row>
    <row r="890" spans="2:30" ht="13.2" x14ac:dyDescent="0.25">
      <c r="B890" s="5"/>
      <c r="C890" s="6"/>
      <c r="AD890" s="7"/>
    </row>
    <row r="891" spans="2:30" ht="13.2" x14ac:dyDescent="0.25">
      <c r="B891" s="5"/>
      <c r="C891" s="6"/>
      <c r="AD891" s="7"/>
    </row>
    <row r="892" spans="2:30" ht="13.2" x14ac:dyDescent="0.25">
      <c r="B892" s="5"/>
      <c r="C892" s="6"/>
      <c r="AD892" s="7"/>
    </row>
    <row r="893" spans="2:30" ht="13.2" x14ac:dyDescent="0.25">
      <c r="B893" s="5"/>
      <c r="C893" s="6"/>
      <c r="AD893" s="7"/>
    </row>
    <row r="894" spans="2:30" ht="13.2" x14ac:dyDescent="0.25">
      <c r="B894" s="5"/>
      <c r="C894" s="6"/>
      <c r="AD894" s="7"/>
    </row>
    <row r="895" spans="2:30" ht="13.2" x14ac:dyDescent="0.25">
      <c r="B895" s="5"/>
      <c r="C895" s="6"/>
      <c r="AD895" s="7"/>
    </row>
    <row r="896" spans="2:30" ht="13.2" x14ac:dyDescent="0.25">
      <c r="B896" s="5"/>
      <c r="C896" s="6"/>
      <c r="AD896" s="7"/>
    </row>
    <row r="897" spans="2:30" ht="13.2" x14ac:dyDescent="0.25">
      <c r="B897" s="5"/>
      <c r="C897" s="6"/>
      <c r="AD897" s="7"/>
    </row>
    <row r="898" spans="2:30" ht="13.2" x14ac:dyDescent="0.25">
      <c r="B898" s="5"/>
      <c r="C898" s="6"/>
      <c r="AD898" s="7"/>
    </row>
    <row r="899" spans="2:30" ht="13.2" x14ac:dyDescent="0.25">
      <c r="B899" s="5"/>
      <c r="C899" s="6"/>
      <c r="AD899" s="7"/>
    </row>
    <row r="900" spans="2:30" ht="13.2" x14ac:dyDescent="0.25">
      <c r="B900" s="5"/>
      <c r="C900" s="6"/>
      <c r="AD900" s="7"/>
    </row>
    <row r="901" spans="2:30" ht="13.2" x14ac:dyDescent="0.25">
      <c r="B901" s="5"/>
      <c r="C901" s="6"/>
      <c r="AD901" s="7"/>
    </row>
    <row r="902" spans="2:30" ht="13.2" x14ac:dyDescent="0.25">
      <c r="B902" s="5"/>
      <c r="C902" s="6"/>
      <c r="AD902" s="7"/>
    </row>
    <row r="903" spans="2:30" ht="13.2" x14ac:dyDescent="0.25">
      <c r="B903" s="5"/>
      <c r="C903" s="6"/>
      <c r="AD903" s="7"/>
    </row>
    <row r="904" spans="2:30" ht="13.2" x14ac:dyDescent="0.25">
      <c r="B904" s="5"/>
      <c r="C904" s="6"/>
      <c r="AD904" s="7"/>
    </row>
    <row r="905" spans="2:30" ht="13.2" x14ac:dyDescent="0.25">
      <c r="B905" s="5"/>
      <c r="C905" s="6"/>
      <c r="AD905" s="7"/>
    </row>
    <row r="906" spans="2:30" ht="13.2" x14ac:dyDescent="0.25">
      <c r="B906" s="5"/>
      <c r="C906" s="6"/>
      <c r="AD906" s="7"/>
    </row>
    <row r="907" spans="2:30" ht="13.2" x14ac:dyDescent="0.25">
      <c r="B907" s="5"/>
      <c r="C907" s="6"/>
      <c r="AD907" s="7"/>
    </row>
    <row r="908" spans="2:30" ht="13.2" x14ac:dyDescent="0.25">
      <c r="B908" s="5"/>
      <c r="C908" s="6"/>
      <c r="AD908" s="7"/>
    </row>
    <row r="909" spans="2:30" ht="13.2" x14ac:dyDescent="0.25">
      <c r="B909" s="5"/>
      <c r="C909" s="6"/>
      <c r="AD909" s="7"/>
    </row>
    <row r="910" spans="2:30" ht="13.2" x14ac:dyDescent="0.25">
      <c r="B910" s="5"/>
      <c r="C910" s="6"/>
      <c r="AD910" s="7"/>
    </row>
    <row r="911" spans="2:30" ht="13.2" x14ac:dyDescent="0.25">
      <c r="B911" s="5"/>
      <c r="C911" s="6"/>
      <c r="AD911" s="7"/>
    </row>
    <row r="912" spans="2:30" ht="13.2" x14ac:dyDescent="0.25">
      <c r="B912" s="5"/>
      <c r="C912" s="6"/>
      <c r="AD912" s="7"/>
    </row>
    <row r="913" spans="2:30" ht="13.2" x14ac:dyDescent="0.25">
      <c r="B913" s="5"/>
      <c r="C913" s="6"/>
      <c r="AD913" s="7"/>
    </row>
    <row r="914" spans="2:30" ht="15" customHeight="1" x14ac:dyDescent="0.25">
      <c r="B914" s="5"/>
      <c r="C914" s="6"/>
      <c r="AD914" s="7"/>
    </row>
    <row r="915" spans="2:30" ht="15" customHeight="1" x14ac:dyDescent="0.25">
      <c r="B915" s="5"/>
      <c r="C915" s="6"/>
      <c r="AD915" s="7"/>
    </row>
    <row r="916" spans="2:30" ht="15" customHeight="1" x14ac:dyDescent="0.25">
      <c r="B916" s="5"/>
      <c r="C916" s="6"/>
      <c r="AD916" s="7"/>
    </row>
    <row r="917" spans="2:30" ht="15" customHeight="1" x14ac:dyDescent="0.25">
      <c r="B917" s="5"/>
      <c r="C917" s="6"/>
      <c r="AD917" s="7"/>
    </row>
    <row r="918" spans="2:30" ht="15" customHeight="1" x14ac:dyDescent="0.25">
      <c r="B918" s="5"/>
      <c r="C918" s="6"/>
      <c r="AD918" s="7"/>
    </row>
    <row r="919" spans="2:30" ht="15" customHeight="1" x14ac:dyDescent="0.25">
      <c r="B919" s="5"/>
      <c r="C919" s="6"/>
      <c r="AD919" s="7"/>
    </row>
    <row r="920" spans="2:30" ht="15" customHeight="1" x14ac:dyDescent="0.25">
      <c r="B920" s="5"/>
      <c r="C920" s="6"/>
      <c r="AD920" s="7"/>
    </row>
    <row r="921" spans="2:30" ht="15" customHeight="1" x14ac:dyDescent="0.25">
      <c r="B921" s="5"/>
      <c r="C921" s="6"/>
      <c r="AD921" s="7"/>
    </row>
    <row r="922" spans="2:30" ht="15" customHeight="1" x14ac:dyDescent="0.25">
      <c r="B922" s="5"/>
      <c r="C922" s="6"/>
      <c r="AD922" s="7"/>
    </row>
    <row r="923" spans="2:30" ht="15" customHeight="1" x14ac:dyDescent="0.25">
      <c r="B923" s="5"/>
      <c r="C923" s="6"/>
      <c r="AD923" s="7"/>
    </row>
    <row r="924" spans="2:30" ht="15" customHeight="1" x14ac:dyDescent="0.25">
      <c r="B924" s="5"/>
      <c r="C924" s="6"/>
      <c r="AD924" s="7"/>
    </row>
    <row r="925" spans="2:30" ht="15" customHeight="1" x14ac:dyDescent="0.25">
      <c r="B925" s="5"/>
      <c r="C925" s="6"/>
      <c r="AD925" s="7"/>
    </row>
    <row r="926" spans="2:30" ht="15" customHeight="1" x14ac:dyDescent="0.25">
      <c r="B926" s="5"/>
      <c r="C926" s="6"/>
      <c r="AD926" s="7"/>
    </row>
    <row r="927" spans="2:30" ht="15" customHeight="1" x14ac:dyDescent="0.25">
      <c r="B927" s="5"/>
      <c r="C927" s="6"/>
      <c r="AD927" s="7"/>
    </row>
    <row r="928" spans="2:30" ht="15" customHeight="1" x14ac:dyDescent="0.25">
      <c r="B928" s="5"/>
      <c r="C928" s="6"/>
      <c r="AD928" s="7"/>
    </row>
    <row r="929" spans="2:30" ht="15" customHeight="1" x14ac:dyDescent="0.25">
      <c r="B929" s="5"/>
      <c r="C929" s="6"/>
      <c r="AD929" s="7"/>
    </row>
    <row r="930" spans="2:30" ht="15" customHeight="1" x14ac:dyDescent="0.25">
      <c r="B930" s="5"/>
      <c r="C930" s="6"/>
      <c r="AD930" s="7"/>
    </row>
    <row r="931" spans="2:30" ht="15" customHeight="1" x14ac:dyDescent="0.25">
      <c r="B931" s="5"/>
      <c r="C931" s="6"/>
      <c r="AD931" s="7"/>
    </row>
    <row r="932" spans="2:30" ht="15" customHeight="1" x14ac:dyDescent="0.25">
      <c r="B932" s="5"/>
      <c r="C932" s="6"/>
      <c r="AD932" s="7"/>
    </row>
    <row r="933" spans="2:30" ht="15" customHeight="1" x14ac:dyDescent="0.25">
      <c r="B933" s="5"/>
      <c r="C933" s="6"/>
      <c r="AD933" s="7"/>
    </row>
    <row r="934" spans="2:30" ht="15" customHeight="1" x14ac:dyDescent="0.25">
      <c r="B934" s="5"/>
      <c r="C934" s="6"/>
      <c r="AD934" s="7"/>
    </row>
    <row r="935" spans="2:30" ht="15" customHeight="1" x14ac:dyDescent="0.25">
      <c r="B935" s="5"/>
      <c r="C935" s="6"/>
      <c r="AD935" s="7"/>
    </row>
    <row r="936" spans="2:30" ht="15" customHeight="1" x14ac:dyDescent="0.25">
      <c r="B936" s="5"/>
      <c r="C936" s="6"/>
      <c r="AD936" s="7"/>
    </row>
    <row r="937" spans="2:30" ht="15" customHeight="1" x14ac:dyDescent="0.25">
      <c r="B937" s="5"/>
      <c r="C937" s="6"/>
      <c r="AD937" s="7"/>
    </row>
    <row r="938" spans="2:30" ht="15" customHeight="1" x14ac:dyDescent="0.25">
      <c r="B938" s="5"/>
      <c r="C938" s="6"/>
      <c r="AD938" s="7"/>
    </row>
    <row r="939" spans="2:30" ht="15" customHeight="1" x14ac:dyDescent="0.25">
      <c r="B939" s="5"/>
      <c r="C939" s="6"/>
      <c r="AD939" s="7"/>
    </row>
    <row r="940" spans="2:30" ht="15" customHeight="1" x14ac:dyDescent="0.25">
      <c r="B940" s="5"/>
      <c r="C940" s="6"/>
      <c r="AD940" s="7"/>
    </row>
    <row r="941" spans="2:30" ht="15" customHeight="1" x14ac:dyDescent="0.25">
      <c r="B941" s="5"/>
      <c r="C941" s="6"/>
      <c r="AD941" s="7"/>
    </row>
    <row r="942" spans="2:30" ht="15" customHeight="1" x14ac:dyDescent="0.25">
      <c r="B942" s="5"/>
      <c r="C942" s="6"/>
      <c r="AD942" s="7"/>
    </row>
    <row r="943" spans="2:30" ht="15" customHeight="1" x14ac:dyDescent="0.25">
      <c r="B943" s="5"/>
      <c r="C943" s="6"/>
      <c r="AD943" s="7"/>
    </row>
    <row r="944" spans="2:30" ht="15" customHeight="1" x14ac:dyDescent="0.25">
      <c r="B944" s="5"/>
      <c r="C944" s="6"/>
      <c r="AD944" s="7"/>
    </row>
    <row r="945" spans="2:30" ht="15" customHeight="1" x14ac:dyDescent="0.25">
      <c r="B945" s="5"/>
      <c r="C945" s="6"/>
      <c r="AD945" s="7"/>
    </row>
    <row r="946" spans="2:30" ht="15" customHeight="1" x14ac:dyDescent="0.25">
      <c r="B946" s="5"/>
      <c r="C946" s="6"/>
      <c r="AD946" s="7"/>
    </row>
    <row r="947" spans="2:30" ht="15" customHeight="1" x14ac:dyDescent="0.25">
      <c r="B947" s="5"/>
      <c r="C947" s="6"/>
      <c r="AD947" s="7"/>
    </row>
    <row r="948" spans="2:30" ht="15" customHeight="1" x14ac:dyDescent="0.25">
      <c r="B948" s="5"/>
      <c r="C948" s="6"/>
      <c r="AD948" s="7"/>
    </row>
    <row r="949" spans="2:30" ht="15" customHeight="1" x14ac:dyDescent="0.25">
      <c r="B949" s="5"/>
      <c r="C949" s="6"/>
      <c r="AD949" s="7"/>
    </row>
    <row r="950" spans="2:30" ht="15" customHeight="1" x14ac:dyDescent="0.25">
      <c r="B950" s="5"/>
      <c r="C950" s="6"/>
      <c r="AD950" s="7"/>
    </row>
    <row r="951" spans="2:30" ht="15" customHeight="1" x14ac:dyDescent="0.25">
      <c r="B951" s="5"/>
      <c r="C951" s="6"/>
      <c r="AD951" s="7"/>
    </row>
    <row r="952" spans="2:30" ht="15" customHeight="1" x14ac:dyDescent="0.25">
      <c r="B952" s="5"/>
      <c r="C952" s="6"/>
      <c r="AD952" s="7"/>
    </row>
    <row r="953" spans="2:30" ht="15" customHeight="1" x14ac:dyDescent="0.25">
      <c r="B953" s="5"/>
      <c r="C953" s="6"/>
      <c r="AD953" s="7"/>
    </row>
    <row r="954" spans="2:30" ht="15" customHeight="1" x14ac:dyDescent="0.25">
      <c r="B954" s="5"/>
      <c r="C954" s="6"/>
      <c r="AD954" s="7"/>
    </row>
    <row r="955" spans="2:30" ht="15" customHeight="1" x14ac:dyDescent="0.25">
      <c r="B955" s="5"/>
      <c r="C955" s="6"/>
      <c r="AD955" s="7"/>
    </row>
    <row r="956" spans="2:30" ht="15" customHeight="1" x14ac:dyDescent="0.25">
      <c r="B956" s="5"/>
      <c r="C956" s="6"/>
      <c r="AD956" s="7"/>
    </row>
    <row r="957" spans="2:30" ht="15" customHeight="1" x14ac:dyDescent="0.25">
      <c r="B957" s="5"/>
      <c r="C957" s="6"/>
      <c r="AD957" s="7"/>
    </row>
    <row r="958" spans="2:30" ht="15" customHeight="1" x14ac:dyDescent="0.25">
      <c r="B958" s="5"/>
      <c r="C958" s="6"/>
      <c r="AD958" s="7"/>
    </row>
    <row r="959" spans="2:30" ht="15" customHeight="1" x14ac:dyDescent="0.25">
      <c r="B959" s="5"/>
      <c r="C959" s="6"/>
      <c r="AD959" s="7"/>
    </row>
    <row r="960" spans="2:30" ht="15" customHeight="1" x14ac:dyDescent="0.25">
      <c r="B960" s="5"/>
      <c r="C960" s="6"/>
      <c r="AD960" s="7"/>
    </row>
    <row r="961" spans="2:30" ht="15" customHeight="1" x14ac:dyDescent="0.25">
      <c r="B961" s="5"/>
      <c r="C961" s="6"/>
      <c r="AD961" s="7"/>
    </row>
    <row r="962" spans="2:30" ht="15" customHeight="1" x14ac:dyDescent="0.25">
      <c r="B962" s="5"/>
      <c r="C962" s="6"/>
      <c r="AD962" s="7"/>
    </row>
    <row r="963" spans="2:30" ht="15" customHeight="1" x14ac:dyDescent="0.25">
      <c r="B963" s="5"/>
      <c r="C963" s="6"/>
      <c r="AD963" s="7"/>
    </row>
    <row r="964" spans="2:30" ht="15" customHeight="1" x14ac:dyDescent="0.25">
      <c r="B964" s="5"/>
      <c r="C964" s="6"/>
      <c r="AD964" s="7"/>
    </row>
    <row r="965" spans="2:30" ht="15" customHeight="1" x14ac:dyDescent="0.25">
      <c r="B965" s="5"/>
      <c r="C965" s="6"/>
      <c r="AD965" s="7"/>
    </row>
    <row r="966" spans="2:30" ht="15" customHeight="1" x14ac:dyDescent="0.25">
      <c r="B966" s="5"/>
      <c r="C966" s="6"/>
      <c r="AD966" s="7"/>
    </row>
    <row r="967" spans="2:30" ht="15" customHeight="1" x14ac:dyDescent="0.25">
      <c r="B967" s="5"/>
      <c r="C967" s="6"/>
      <c r="AD967" s="7"/>
    </row>
    <row r="968" spans="2:30" ht="15" customHeight="1" x14ac:dyDescent="0.25">
      <c r="B968" s="5"/>
      <c r="C968" s="6"/>
      <c r="AD968" s="7"/>
    </row>
    <row r="969" spans="2:30" ht="15" customHeight="1" x14ac:dyDescent="0.25">
      <c r="B969" s="5"/>
      <c r="C969" s="6"/>
      <c r="AD969" s="7"/>
    </row>
    <row r="970" spans="2:30" ht="15" customHeight="1" x14ac:dyDescent="0.25">
      <c r="B970" s="5"/>
      <c r="C970" s="6"/>
      <c r="AD970" s="7"/>
    </row>
    <row r="971" spans="2:30" ht="15" customHeight="1" x14ac:dyDescent="0.25">
      <c r="B971" s="5"/>
      <c r="C971" s="6"/>
      <c r="AD971" s="7"/>
    </row>
    <row r="972" spans="2:30" ht="15" customHeight="1" x14ac:dyDescent="0.25">
      <c r="B972" s="5"/>
      <c r="C972" s="6"/>
      <c r="AD972" s="7"/>
    </row>
    <row r="973" spans="2:30" ht="15" customHeight="1" x14ac:dyDescent="0.25">
      <c r="B973" s="5"/>
      <c r="C973" s="6"/>
      <c r="AD973" s="7"/>
    </row>
    <row r="974" spans="2:30" ht="15" customHeight="1" x14ac:dyDescent="0.25">
      <c r="B974" s="5"/>
      <c r="C974" s="6"/>
      <c r="AD974" s="7"/>
    </row>
    <row r="975" spans="2:30" ht="15" customHeight="1" x14ac:dyDescent="0.25">
      <c r="B975" s="5"/>
      <c r="C975" s="6"/>
      <c r="AD975" s="7"/>
    </row>
    <row r="976" spans="2:30" ht="15" customHeight="1" x14ac:dyDescent="0.25">
      <c r="B976" s="5"/>
      <c r="C976" s="6"/>
      <c r="AD976" s="7"/>
    </row>
    <row r="977" spans="2:30" ht="15" customHeight="1" x14ac:dyDescent="0.25">
      <c r="B977" s="5"/>
      <c r="C977" s="6"/>
      <c r="AD977" s="7"/>
    </row>
    <row r="978" spans="2:30" ht="15" customHeight="1" x14ac:dyDescent="0.25">
      <c r="B978" s="5"/>
      <c r="C978" s="6"/>
      <c r="AD978" s="7"/>
    </row>
    <row r="979" spans="2:30" ht="15" customHeight="1" x14ac:dyDescent="0.25">
      <c r="B979" s="5"/>
      <c r="C979" s="6"/>
      <c r="AD979" s="7"/>
    </row>
    <row r="980" spans="2:30" ht="15" customHeight="1" x14ac:dyDescent="0.25">
      <c r="B980" s="5"/>
      <c r="C980" s="6"/>
      <c r="AD980" s="7"/>
    </row>
    <row r="981" spans="2:30" ht="15" customHeight="1" x14ac:dyDescent="0.25">
      <c r="B981" s="5"/>
      <c r="C981" s="6"/>
      <c r="AD981" s="7"/>
    </row>
    <row r="982" spans="2:30" ht="15" customHeight="1" x14ac:dyDescent="0.25">
      <c r="B982" s="5"/>
      <c r="C982" s="6"/>
      <c r="AD982" s="7"/>
    </row>
    <row r="983" spans="2:30" ht="15" customHeight="1" x14ac:dyDescent="0.25">
      <c r="B983" s="5"/>
      <c r="C983" s="6"/>
      <c r="AD983" s="7"/>
    </row>
    <row r="984" spans="2:30" ht="15" customHeight="1" x14ac:dyDescent="0.25">
      <c r="B984" s="5"/>
      <c r="C984" s="6"/>
      <c r="AD984" s="7"/>
    </row>
    <row r="985" spans="2:30" ht="15" customHeight="1" x14ac:dyDescent="0.25">
      <c r="B985" s="5"/>
      <c r="C985" s="6"/>
      <c r="AD985" s="7"/>
    </row>
    <row r="986" spans="2:30" ht="15" customHeight="1" x14ac:dyDescent="0.25">
      <c r="B986" s="5"/>
      <c r="C986" s="6"/>
      <c r="AD986" s="7"/>
    </row>
    <row r="987" spans="2:30" ht="15" customHeight="1" x14ac:dyDescent="0.25">
      <c r="B987" s="5"/>
      <c r="C987" s="6"/>
      <c r="AD987" s="7"/>
    </row>
    <row r="988" spans="2:30" ht="15" customHeight="1" x14ac:dyDescent="0.25">
      <c r="B988" s="5"/>
      <c r="C988" s="6"/>
      <c r="AD988" s="7"/>
    </row>
    <row r="989" spans="2:30" ht="15" customHeight="1" x14ac:dyDescent="0.25">
      <c r="B989" s="5"/>
      <c r="C989" s="6"/>
      <c r="AD989" s="7"/>
    </row>
    <row r="990" spans="2:30" ht="15" customHeight="1" x14ac:dyDescent="0.25">
      <c r="B990" s="5"/>
      <c r="C990" s="6"/>
      <c r="AD990" s="7"/>
    </row>
    <row r="991" spans="2:30" ht="15" customHeight="1" x14ac:dyDescent="0.25">
      <c r="B991" s="5"/>
      <c r="C991" s="6"/>
      <c r="AD991" s="7"/>
    </row>
    <row r="992" spans="2:30" ht="15" customHeight="1" x14ac:dyDescent="0.25">
      <c r="B992" s="5"/>
      <c r="C992" s="6"/>
      <c r="AD992" s="7"/>
    </row>
    <row r="993" spans="2:30" ht="15" customHeight="1" x14ac:dyDescent="0.25">
      <c r="B993" s="5"/>
      <c r="C993" s="6"/>
      <c r="AD993" s="7"/>
    </row>
    <row r="994" spans="2:30" ht="15" customHeight="1" x14ac:dyDescent="0.25">
      <c r="B994" s="5"/>
      <c r="C994" s="6"/>
      <c r="AD994" s="7"/>
    </row>
    <row r="995" spans="2:30" ht="15" customHeight="1" x14ac:dyDescent="0.25">
      <c r="B995" s="5"/>
      <c r="C995" s="6"/>
      <c r="AD995" s="7"/>
    </row>
    <row r="996" spans="2:30" ht="15" customHeight="1" x14ac:dyDescent="0.25">
      <c r="B996" s="5"/>
      <c r="C996" s="6"/>
      <c r="AD996" s="7"/>
    </row>
    <row r="997" spans="2:30" ht="15" customHeight="1" x14ac:dyDescent="0.25">
      <c r="B997" s="5"/>
      <c r="C997" s="6"/>
      <c r="AD997" s="7"/>
    </row>
    <row r="998" spans="2:30" ht="15" customHeight="1" x14ac:dyDescent="0.25">
      <c r="B998" s="5"/>
      <c r="C998" s="6"/>
      <c r="AD998" s="7"/>
    </row>
    <row r="999" spans="2:30" ht="15" customHeight="1" x14ac:dyDescent="0.25">
      <c r="B999" s="5"/>
      <c r="C999" s="6"/>
      <c r="AD999" s="7"/>
    </row>
    <row r="1000" spans="2:30" ht="15" customHeight="1" x14ac:dyDescent="0.25">
      <c r="B1000" s="5"/>
      <c r="C1000" s="6"/>
      <c r="AD1000" s="7"/>
    </row>
    <row r="1001" spans="2:30" ht="15" customHeight="1" x14ac:dyDescent="0.25">
      <c r="B1001" s="5"/>
      <c r="C1001" s="6"/>
      <c r="AD1001" s="7"/>
    </row>
    <row r="1002" spans="2:30" ht="15" customHeight="1" x14ac:dyDescent="0.25">
      <c r="B1002" s="5"/>
      <c r="C1002" s="6"/>
      <c r="AD1002" s="7"/>
    </row>
    <row r="1003" spans="2:30" ht="15" customHeight="1" x14ac:dyDescent="0.25">
      <c r="B1003" s="5"/>
      <c r="C1003" s="6"/>
      <c r="AD1003" s="7"/>
    </row>
    <row r="1004" spans="2:30" ht="15" customHeight="1" x14ac:dyDescent="0.25">
      <c r="B1004" s="5"/>
      <c r="C1004" s="6"/>
      <c r="AD1004" s="7"/>
    </row>
    <row r="1005" spans="2:30" ht="15" customHeight="1" x14ac:dyDescent="0.25">
      <c r="B1005" s="5"/>
      <c r="C1005" s="6"/>
      <c r="AD1005" s="7"/>
    </row>
    <row r="1006" spans="2:30" ht="15" customHeight="1" x14ac:dyDescent="0.25">
      <c r="B1006" s="5"/>
      <c r="C1006" s="6"/>
      <c r="AD1006" s="7"/>
    </row>
    <row r="1007" spans="2:30" ht="15" customHeight="1" x14ac:dyDescent="0.25">
      <c r="B1007" s="5"/>
      <c r="C1007" s="6"/>
      <c r="AD1007" s="7"/>
    </row>
    <row r="1008" spans="2:30" ht="15" customHeight="1" x14ac:dyDescent="0.25">
      <c r="B1008" s="5"/>
      <c r="C1008" s="6"/>
      <c r="AD1008" s="7"/>
    </row>
    <row r="1009" spans="2:30" ht="15" customHeight="1" x14ac:dyDescent="0.25">
      <c r="B1009" s="5"/>
      <c r="C1009" s="6"/>
      <c r="AD1009" s="7"/>
    </row>
    <row r="1010" spans="2:30" ht="15" customHeight="1" x14ac:dyDescent="0.25">
      <c r="B1010" s="5"/>
      <c r="C1010" s="6"/>
      <c r="AD1010" s="7"/>
    </row>
    <row r="1011" spans="2:30" ht="15" customHeight="1" x14ac:dyDescent="0.25">
      <c r="B1011" s="5"/>
      <c r="C1011" s="6"/>
      <c r="AD1011" s="7"/>
    </row>
    <row r="1012" spans="2:30" ht="15" customHeight="1" x14ac:dyDescent="0.25">
      <c r="B1012" s="5"/>
      <c r="C1012" s="6"/>
      <c r="AD1012" s="7"/>
    </row>
    <row r="1013" spans="2:30" ht="15" customHeight="1" x14ac:dyDescent="0.25">
      <c r="B1013" s="5"/>
      <c r="C1013" s="6"/>
      <c r="AD1013" s="7"/>
    </row>
    <row r="1014" spans="2:30" ht="15" customHeight="1" x14ac:dyDescent="0.25">
      <c r="B1014" s="5"/>
      <c r="C1014" s="6"/>
      <c r="AD1014" s="7"/>
    </row>
    <row r="1015" spans="2:30" ht="15" customHeight="1" x14ac:dyDescent="0.25">
      <c r="B1015" s="5"/>
      <c r="C1015" s="6"/>
      <c r="AD1015" s="7"/>
    </row>
    <row r="1016" spans="2:30" ht="15" customHeight="1" x14ac:dyDescent="0.25">
      <c r="B1016" s="5"/>
      <c r="C1016" s="6"/>
      <c r="AD1016" s="7"/>
    </row>
    <row r="1017" spans="2:30" ht="15" customHeight="1" x14ac:dyDescent="0.25">
      <c r="B1017" s="5"/>
      <c r="C1017" s="6"/>
      <c r="AD1017" s="7"/>
    </row>
    <row r="1018" spans="2:30" ht="15" customHeight="1" x14ac:dyDescent="0.25">
      <c r="B1018" s="5"/>
      <c r="C1018" s="6"/>
      <c r="AD1018" s="7"/>
    </row>
    <row r="1019" spans="2:30" ht="15" customHeight="1" x14ac:dyDescent="0.25">
      <c r="B1019" s="5"/>
      <c r="C1019" s="6"/>
      <c r="AD1019" s="7"/>
    </row>
    <row r="1020" spans="2:30" ht="15" customHeight="1" x14ac:dyDescent="0.25">
      <c r="B1020" s="5"/>
      <c r="C1020" s="6"/>
      <c r="AD1020" s="7"/>
    </row>
    <row r="1021" spans="2:30" ht="15" customHeight="1" x14ac:dyDescent="0.25">
      <c r="B1021" s="5"/>
      <c r="C1021" s="6"/>
      <c r="AD1021" s="7"/>
    </row>
    <row r="1022" spans="2:30" ht="15" customHeight="1" x14ac:dyDescent="0.25">
      <c r="B1022" s="5"/>
      <c r="C1022" s="6"/>
      <c r="AD1022" s="7"/>
    </row>
    <row r="1023" spans="2:30" ht="15" customHeight="1" x14ac:dyDescent="0.25">
      <c r="B1023" s="5"/>
      <c r="C1023" s="6"/>
      <c r="AD1023" s="7"/>
    </row>
    <row r="1024" spans="2:30" ht="15" customHeight="1" x14ac:dyDescent="0.25">
      <c r="B1024" s="5"/>
      <c r="C1024" s="6"/>
      <c r="AD1024" s="7"/>
    </row>
    <row r="1025" spans="2:30" ht="15" customHeight="1" x14ac:dyDescent="0.25">
      <c r="B1025" s="5"/>
      <c r="C1025" s="6"/>
      <c r="AD1025" s="7"/>
    </row>
    <row r="1026" spans="2:30" ht="15" customHeight="1" x14ac:dyDescent="0.25">
      <c r="B1026" s="5"/>
      <c r="C1026" s="6"/>
      <c r="AD1026" s="7"/>
    </row>
    <row r="1027" spans="2:30" ht="15" customHeight="1" x14ac:dyDescent="0.25">
      <c r="B1027" s="5"/>
      <c r="C1027" s="6"/>
      <c r="AD1027" s="7"/>
    </row>
    <row r="1028" spans="2:30" ht="15" customHeight="1" x14ac:dyDescent="0.25">
      <c r="B1028" s="5"/>
      <c r="C1028" s="6"/>
      <c r="AD1028" s="7"/>
    </row>
    <row r="1029" spans="2:30" ht="15" customHeight="1" x14ac:dyDescent="0.25">
      <c r="B1029" s="5"/>
      <c r="C1029" s="6"/>
      <c r="AD1029" s="7"/>
    </row>
    <row r="1030" spans="2:30" ht="15" customHeight="1" x14ac:dyDescent="0.25">
      <c r="B1030" s="5"/>
      <c r="C1030" s="6"/>
      <c r="AD1030" s="7"/>
    </row>
    <row r="1031" spans="2:30" ht="15" customHeight="1" x14ac:dyDescent="0.25">
      <c r="B1031" s="5"/>
      <c r="C1031" s="6"/>
      <c r="AD1031" s="7"/>
    </row>
    <row r="1032" spans="2:30" ht="15" customHeight="1" x14ac:dyDescent="0.25">
      <c r="B1032" s="5"/>
      <c r="C1032" s="6"/>
      <c r="AD1032" s="7"/>
    </row>
    <row r="1033" spans="2:30" ht="15" customHeight="1" x14ac:dyDescent="0.25">
      <c r="B1033" s="5"/>
      <c r="C1033" s="6"/>
      <c r="AD1033" s="7"/>
    </row>
    <row r="1034" spans="2:30" ht="15" customHeight="1" x14ac:dyDescent="0.25">
      <c r="B1034" s="5"/>
      <c r="C1034" s="6"/>
      <c r="AD1034" s="7"/>
    </row>
    <row r="1035" spans="2:30" ht="15" customHeight="1" x14ac:dyDescent="0.25">
      <c r="B1035" s="5"/>
      <c r="C1035" s="6"/>
      <c r="AD1035" s="7"/>
    </row>
    <row r="1036" spans="2:30" ht="15" customHeight="1" x14ac:dyDescent="0.25">
      <c r="B1036" s="5"/>
      <c r="C1036" s="6"/>
      <c r="AD1036" s="7"/>
    </row>
    <row r="1037" spans="2:30" ht="15" customHeight="1" x14ac:dyDescent="0.25">
      <c r="B1037" s="5"/>
      <c r="C1037" s="6"/>
      <c r="AD1037" s="7"/>
    </row>
    <row r="1038" spans="2:30" ht="15" customHeight="1" x14ac:dyDescent="0.25">
      <c r="B1038" s="5"/>
      <c r="C1038" s="6"/>
      <c r="AD1038" s="7"/>
    </row>
    <row r="1039" spans="2:30" ht="15" customHeight="1" x14ac:dyDescent="0.25">
      <c r="B1039" s="5"/>
      <c r="C1039" s="6"/>
      <c r="AD1039" s="7"/>
    </row>
    <row r="1040" spans="2:30" ht="15" customHeight="1" x14ac:dyDescent="0.25">
      <c r="B1040" s="5"/>
      <c r="C1040" s="6"/>
      <c r="AD1040" s="7"/>
    </row>
    <row r="1041" spans="2:30" ht="15" customHeight="1" x14ac:dyDescent="0.25">
      <c r="B1041" s="5"/>
      <c r="C1041" s="6"/>
      <c r="AD1041" s="7"/>
    </row>
    <row r="1042" spans="2:30" ht="15" customHeight="1" x14ac:dyDescent="0.25">
      <c r="B1042" s="5"/>
      <c r="C1042" s="6"/>
      <c r="AD1042" s="7"/>
    </row>
    <row r="1043" spans="2:30" ht="15" customHeight="1" x14ac:dyDescent="0.25">
      <c r="B1043" s="5"/>
      <c r="C1043" s="6"/>
      <c r="AD1043" s="7"/>
    </row>
    <row r="1044" spans="2:30" ht="15" customHeight="1" x14ac:dyDescent="0.25">
      <c r="B1044" s="5"/>
      <c r="C1044" s="6"/>
      <c r="AD1044" s="7"/>
    </row>
  </sheetData>
  <phoneticPr fontId="10" type="noConversion"/>
  <dataValidations count="2">
    <dataValidation type="custom" allowBlank="1" showDropDown="1" sqref="C2:C478" xr:uid="{00000000-0002-0000-0000-000000000000}">
      <formula1>OR(TIMEVALUE(TEXT(C2, "hh:mm:ss"))=C2, AND(ISNUMBER(C2), LEFT(CELL("format", C2))="D"))</formula1>
    </dataValidation>
    <dataValidation type="custom" allowBlank="1" showDropDown="1" sqref="B2:B478" xr:uid="{00000000-0002-0000-0000-000001000000}">
      <formula1>OR(NOT(ISERROR(DATEVALUE(B2))), AND(ISNUMBER(B2), LEFT(CELL("format", B2))="D"))</formula1>
    </dataValidation>
  </dataValidations>
  <pageMargins left="0.7" right="0.7" top="0.75" bottom="0.75" header="0.3" footer="0.3"/>
  <pageSetup orientation="portrait" r:id="rId1"/>
  <headerFooter>
    <oddHeader>&amp;L&amp;"Arial"&amp;10&amp;K000000&amp;1#</oddHeader>
    <oddFooter>&amp;L&amp;1#&amp;"Arial"&amp;10&amp;K000000Saudi Aramco: Company General Use</oddFooter>
  </headerFooter>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956D0D4F-8B76-45DF-8EAE-979A73200346}">
          <x14:formula1>
            <xm:f>List!$D$5:$D$15</xm:f>
          </x14:formula1>
          <xm:sqref>K1:K346 K348:K1048576</xm:sqref>
        </x14:dataValidation>
        <x14:dataValidation type="list" allowBlank="1" showInputMessage="1" showErrorMessage="1" xr:uid="{3F54D34D-C364-4E5F-BB47-A75436827400}">
          <x14:formula1>
            <xm:f>List!$C$5:$C$10</xm:f>
          </x14:formula1>
          <xm:sqref>J1:J346 J348:J1048576</xm:sqref>
        </x14:dataValidation>
        <x14:dataValidation type="list" allowBlank="1" showInputMessage="1" showErrorMessage="1" xr:uid="{5ED8173D-0111-49C1-ABE0-E0C25556A0F3}">
          <x14:formula1>
            <xm:f>List!$A$5:$A$9</xm:f>
          </x14:formula1>
          <xm:sqref>H1:H1048576</xm:sqref>
        </x14:dataValidation>
        <x14:dataValidation type="list" allowBlank="1" showInputMessage="1" showErrorMessage="1" xr:uid="{064CE3C1-5B86-4A88-8B27-A27451032904}">
          <x14:formula1>
            <xm:f>List!$B$5:$B$17</xm:f>
          </x14:formula1>
          <xm:sqref>I1:I1048576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D0B24-DDFC-407A-A078-330FEFA793BE}">
  <dimension ref="G5:O13"/>
  <sheetViews>
    <sheetView workbookViewId="0">
      <selection activeCell="N30" sqref="N30"/>
    </sheetView>
  </sheetViews>
  <sheetFormatPr defaultRowHeight="13.2" x14ac:dyDescent="0.25"/>
  <cols>
    <col min="7" max="7" width="19.44140625" bestFit="1" customWidth="1"/>
    <col min="8" max="8" width="20" bestFit="1" customWidth="1"/>
    <col min="9" max="9" width="14.33203125" bestFit="1" customWidth="1"/>
    <col min="10" max="10" width="11.6640625" bestFit="1" customWidth="1"/>
    <col min="11" max="11" width="9.109375" bestFit="1" customWidth="1"/>
    <col min="12" max="12" width="10.44140625" bestFit="1" customWidth="1"/>
    <col min="13" max="13" width="10.5546875" bestFit="1" customWidth="1"/>
    <col min="14" max="14" width="18" bestFit="1" customWidth="1"/>
    <col min="15" max="15" width="12.6640625" bestFit="1" customWidth="1"/>
  </cols>
  <sheetData>
    <row r="5" spans="7:15" ht="13.8" thickBot="1" x14ac:dyDescent="0.3"/>
    <row r="6" spans="7:15" ht="15" thickBot="1" x14ac:dyDescent="0.3">
      <c r="G6" s="76" t="s">
        <v>1487</v>
      </c>
      <c r="H6" s="64" t="s">
        <v>1488</v>
      </c>
      <c r="I6" s="64" t="s">
        <v>1489</v>
      </c>
      <c r="J6" s="63" t="s">
        <v>1490</v>
      </c>
      <c r="K6" s="64" t="s">
        <v>1491</v>
      </c>
      <c r="L6" s="64" t="s">
        <v>1492</v>
      </c>
      <c r="M6" s="73" t="s">
        <v>1493</v>
      </c>
      <c r="N6" s="76" t="s">
        <v>1494</v>
      </c>
    </row>
    <row r="7" spans="7:15" ht="15" thickBot="1" x14ac:dyDescent="0.3">
      <c r="G7" s="65">
        <v>46056.371527777781</v>
      </c>
      <c r="H7" s="66">
        <v>46057.084722222222</v>
      </c>
      <c r="I7" s="67" t="s">
        <v>1497</v>
      </c>
      <c r="J7" s="67" t="s">
        <v>462</v>
      </c>
      <c r="K7" s="67" t="s">
        <v>585</v>
      </c>
      <c r="L7" s="67" t="s">
        <v>1498</v>
      </c>
      <c r="M7" s="74">
        <v>0.7</v>
      </c>
      <c r="N7" s="77">
        <v>29366.400000000001</v>
      </c>
    </row>
    <row r="8" spans="7:15" ht="15" thickBot="1" x14ac:dyDescent="0.3">
      <c r="G8" s="65">
        <v>46066.090277777781</v>
      </c>
      <c r="H8" s="66">
        <v>46066.090277777781</v>
      </c>
      <c r="I8" s="67" t="s">
        <v>1499</v>
      </c>
      <c r="J8" s="67" t="s">
        <v>462</v>
      </c>
      <c r="K8" s="67" t="s">
        <v>580</v>
      </c>
      <c r="L8" s="67" t="s">
        <v>1500</v>
      </c>
      <c r="M8" s="74">
        <v>0.3</v>
      </c>
      <c r="N8" s="77">
        <v>15133.1</v>
      </c>
    </row>
    <row r="9" spans="7:15" ht="15" thickBot="1" x14ac:dyDescent="0.3">
      <c r="G9" s="65">
        <v>46052.598611111112</v>
      </c>
      <c r="H9" s="66">
        <v>46066.093055555553</v>
      </c>
      <c r="I9" s="67" t="s">
        <v>1501</v>
      </c>
      <c r="J9" s="67" t="s">
        <v>462</v>
      </c>
      <c r="K9" s="67" t="s">
        <v>747</v>
      </c>
      <c r="L9" s="67" t="s">
        <v>1496</v>
      </c>
      <c r="M9" s="74">
        <v>0.3</v>
      </c>
      <c r="N9" s="77">
        <v>12587.8</v>
      </c>
    </row>
    <row r="10" spans="7:15" ht="15" thickBot="1" x14ac:dyDescent="0.3">
      <c r="G10" s="70">
        <v>46085.368055555555</v>
      </c>
      <c r="H10" s="71">
        <v>46089.339583333334</v>
      </c>
      <c r="I10" s="72" t="s">
        <v>1502</v>
      </c>
      <c r="J10" s="72" t="s">
        <v>1495</v>
      </c>
      <c r="K10" s="72" t="s">
        <v>616</v>
      </c>
      <c r="L10" s="72" t="s">
        <v>1503</v>
      </c>
      <c r="M10" s="75">
        <v>0.9</v>
      </c>
      <c r="N10" s="78">
        <v>6359.2</v>
      </c>
    </row>
    <row r="11" spans="7:15" ht="18.600000000000001" thickBot="1" x14ac:dyDescent="0.4">
      <c r="G11" s="83" t="s">
        <v>1504</v>
      </c>
      <c r="H11" s="84"/>
      <c r="I11" s="84"/>
      <c r="J11" s="84"/>
      <c r="K11" s="84"/>
      <c r="L11" s="84"/>
      <c r="M11" s="84"/>
      <c r="N11" s="79">
        <f>SUM(N7:N10)</f>
        <v>63446.5</v>
      </c>
      <c r="O11" s="69">
        <v>818931.34</v>
      </c>
    </row>
    <row r="13" spans="7:15" x14ac:dyDescent="0.25">
      <c r="N13" s="68">
        <f>N11+O11</f>
        <v>882377.84</v>
      </c>
    </row>
  </sheetData>
  <mergeCells count="1">
    <mergeCell ref="G11:M11"/>
  </mergeCells>
  <pageMargins left="0.7" right="0.7" top="0.75" bottom="0.75" header="0.3" footer="0.3"/>
  <pageSetup orientation="portrait" r:id="rId1"/>
  <headerFooter>
    <oddHeader>&amp;L&amp;"Arial"&amp;10&amp;K000000&amp;1#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E47AF-3243-46EC-B449-DE17D54CF5F2}">
  <dimension ref="A3:I17"/>
  <sheetViews>
    <sheetView zoomScale="145" zoomScaleNormal="145" workbookViewId="0">
      <selection activeCell="C17" sqref="C17"/>
    </sheetView>
  </sheetViews>
  <sheetFormatPr defaultColWidth="8.88671875" defaultRowHeight="13.8" x14ac:dyDescent="0.25"/>
  <cols>
    <col min="1" max="1" width="11.109375" style="55" bestFit="1" customWidth="1"/>
    <col min="2" max="2" width="14" style="55" bestFit="1" customWidth="1"/>
    <col min="3" max="3" width="22.88671875" style="55" bestFit="1" customWidth="1"/>
    <col min="4" max="4" width="17" style="55" bestFit="1" customWidth="1"/>
    <col min="5" max="5" width="14.33203125" style="55" bestFit="1" customWidth="1"/>
    <col min="6" max="6" width="13.6640625" style="55" bestFit="1" customWidth="1"/>
    <col min="7" max="7" width="22.88671875" style="55" bestFit="1" customWidth="1"/>
    <col min="8" max="8" width="11.5546875" style="55" customWidth="1"/>
    <col min="9" max="16384" width="8.88671875" style="55"/>
  </cols>
  <sheetData>
    <row r="3" spans="1:9" ht="14.4" customHeight="1" x14ac:dyDescent="0.25">
      <c r="A3" s="86" t="s">
        <v>6</v>
      </c>
      <c r="B3" s="86" t="s">
        <v>7</v>
      </c>
      <c r="C3" s="86" t="s">
        <v>8</v>
      </c>
      <c r="D3" s="86" t="s">
        <v>9</v>
      </c>
      <c r="E3" s="87" t="s">
        <v>12</v>
      </c>
      <c r="F3" s="86" t="s">
        <v>1259</v>
      </c>
      <c r="G3" s="85" t="s">
        <v>19</v>
      </c>
      <c r="H3" s="54"/>
      <c r="I3" s="54"/>
    </row>
    <row r="4" spans="1:9" x14ac:dyDescent="0.25">
      <c r="A4" s="86"/>
      <c r="B4" s="86"/>
      <c r="C4" s="86"/>
      <c r="D4" s="86"/>
      <c r="E4" s="88"/>
      <c r="F4" s="86"/>
      <c r="G4" s="85"/>
      <c r="H4" s="56"/>
      <c r="I4" s="56"/>
    </row>
    <row r="5" spans="1:9" x14ac:dyDescent="0.25">
      <c r="A5" s="55" t="s">
        <v>49</v>
      </c>
      <c r="B5" s="55" t="s">
        <v>582</v>
      </c>
      <c r="C5" s="55" t="s">
        <v>64</v>
      </c>
      <c r="D5" s="55" t="s">
        <v>32</v>
      </c>
      <c r="E5" s="55" t="s">
        <v>52</v>
      </c>
      <c r="F5" s="55" t="s">
        <v>40</v>
      </c>
      <c r="G5" s="55" t="s">
        <v>40</v>
      </c>
    </row>
    <row r="6" spans="1:9" x14ac:dyDescent="0.25">
      <c r="A6" s="55" t="s">
        <v>354</v>
      </c>
      <c r="B6" s="55" t="s">
        <v>1260</v>
      </c>
      <c r="C6" s="55" t="s">
        <v>110</v>
      </c>
      <c r="D6" s="55" t="s">
        <v>65</v>
      </c>
      <c r="E6" s="55" t="s">
        <v>34</v>
      </c>
      <c r="F6" s="55" t="s">
        <v>80</v>
      </c>
      <c r="G6" s="55" t="s">
        <v>80</v>
      </c>
    </row>
    <row r="7" spans="1:9" x14ac:dyDescent="0.25">
      <c r="A7" s="55" t="s">
        <v>1261</v>
      </c>
      <c r="B7" s="55" t="s">
        <v>1261</v>
      </c>
      <c r="C7" s="55" t="s">
        <v>92</v>
      </c>
      <c r="D7" s="55" t="s">
        <v>75</v>
      </c>
      <c r="E7" s="55" t="s">
        <v>223</v>
      </c>
    </row>
    <row r="8" spans="1:9" x14ac:dyDescent="0.25">
      <c r="A8" s="55" t="s">
        <v>396</v>
      </c>
      <c r="B8" s="55" t="s">
        <v>439</v>
      </c>
      <c r="C8" s="59" t="s">
        <v>31</v>
      </c>
      <c r="D8" s="55" t="s">
        <v>559</v>
      </c>
      <c r="E8" s="55" t="s">
        <v>283</v>
      </c>
    </row>
    <row r="9" spans="1:9" x14ac:dyDescent="0.25">
      <c r="A9" s="55" t="s">
        <v>374</v>
      </c>
      <c r="B9" s="55" t="s">
        <v>1262</v>
      </c>
      <c r="C9" s="55" t="s">
        <v>214</v>
      </c>
      <c r="D9" s="55" t="s">
        <v>1126</v>
      </c>
      <c r="E9" s="55" t="s">
        <v>1263</v>
      </c>
    </row>
    <row r="10" spans="1:9" x14ac:dyDescent="0.25">
      <c r="B10" s="55" t="s">
        <v>1264</v>
      </c>
      <c r="C10" s="55" t="s">
        <v>783</v>
      </c>
      <c r="D10" s="80" t="s">
        <v>341</v>
      </c>
      <c r="E10" s="55" t="s">
        <v>313</v>
      </c>
    </row>
    <row r="11" spans="1:9" x14ac:dyDescent="0.25">
      <c r="B11" s="55" t="s">
        <v>1265</v>
      </c>
      <c r="D11" s="55" t="s">
        <v>214</v>
      </c>
      <c r="E11" s="55" t="s">
        <v>165</v>
      </c>
    </row>
    <row r="12" spans="1:9" x14ac:dyDescent="0.25">
      <c r="B12" s="55" t="s">
        <v>50</v>
      </c>
      <c r="D12" s="80" t="s">
        <v>1631</v>
      </c>
      <c r="E12" s="55" t="s">
        <v>867</v>
      </c>
    </row>
    <row r="13" spans="1:9" x14ac:dyDescent="0.25">
      <c r="B13" s="55" t="s">
        <v>30</v>
      </c>
      <c r="D13" s="55" t="s">
        <v>833</v>
      </c>
      <c r="E13" s="55" t="s">
        <v>94</v>
      </c>
    </row>
    <row r="14" spans="1:9" x14ac:dyDescent="0.25">
      <c r="B14" s="55" t="s">
        <v>1266</v>
      </c>
      <c r="D14" s="55" t="s">
        <v>783</v>
      </c>
      <c r="E14" s="55" t="s">
        <v>171</v>
      </c>
    </row>
    <row r="15" spans="1:9" x14ac:dyDescent="0.25">
      <c r="B15" s="55" t="s">
        <v>102</v>
      </c>
      <c r="D15" s="80" t="s">
        <v>1632</v>
      </c>
      <c r="E15" s="55" t="s">
        <v>66</v>
      </c>
    </row>
    <row r="16" spans="1:9" x14ac:dyDescent="0.25">
      <c r="B16" s="55" t="s">
        <v>304</v>
      </c>
    </row>
    <row r="17" spans="2:2" x14ac:dyDescent="0.25">
      <c r="B17" s="55" t="s">
        <v>201</v>
      </c>
    </row>
  </sheetData>
  <mergeCells count="7">
    <mergeCell ref="G3:G4"/>
    <mergeCell ref="A3:A4"/>
    <mergeCell ref="B3:B4"/>
    <mergeCell ref="C3:C4"/>
    <mergeCell ref="D3:D4"/>
    <mergeCell ref="E3:E4"/>
    <mergeCell ref="F3:F4"/>
  </mergeCells>
  <pageMargins left="0.7" right="0.7" top="0.75" bottom="0.75" header="0.3" footer="0.3"/>
  <pageSetup orientation="portrait" r:id="rId1"/>
  <headerFooter>
    <oddHeader>&amp;L&amp;"Arial"&amp;10&amp;K000000&amp;1#</oddHeader>
    <oddFooter>&amp;C_x000D_&amp;1#&amp;"Calibri"&amp;11&amp;K008000 Baker Hughes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Intervention Log</vt:lpstr>
      <vt:lpstr>RTES CA</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SaeeAhm</dc:creator>
  <cp:lastModifiedBy>Leite, Rodrigo F</cp:lastModifiedBy>
  <dcterms:created xsi:type="dcterms:W3CDTF">2008-05-21T09:59:53Z</dcterms:created>
  <dcterms:modified xsi:type="dcterms:W3CDTF">2026-04-16T01:13:20Z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76ec7a-5c1c-40d8-b713-034aac8a6cec_Enabled">
    <vt:lpwstr>True</vt:lpwstr>
  </property>
  <property fmtid="{D5CDD505-2E9C-101B-9397-08002B2CF9AE}" pid="3" name="MSIP_Label_b176ec7a-5c1c-40d8-b713-034aac8a6cec_SiteId">
    <vt:lpwstr>5a1e0c10-68b1-4667-974b-f394ba989c51</vt:lpwstr>
  </property>
  <property fmtid="{D5CDD505-2E9C-101B-9397-08002B2CF9AE}" pid="4" name="MSIP_Label_b176ec7a-5c1c-40d8-b713-034aac8a6cec_Owner">
    <vt:lpwstr>albaam0z@aramco.com</vt:lpwstr>
  </property>
  <property fmtid="{D5CDD505-2E9C-101B-9397-08002B2CF9AE}" pid="5" name="MSIP_Label_b176ec7a-5c1c-40d8-b713-034aac8a6cec_SetDate">
    <vt:lpwstr>2026-03-12T08:02:46.0522100Z</vt:lpwstr>
  </property>
  <property fmtid="{D5CDD505-2E9C-101B-9397-08002B2CF9AE}" pid="6" name="MSIP_Label_b176ec7a-5c1c-40d8-b713-034aac8a6cec_Name">
    <vt:lpwstr>Company General Use</vt:lpwstr>
  </property>
  <property fmtid="{D5CDD505-2E9C-101B-9397-08002B2CF9AE}" pid="7" name="MSIP_Label_b176ec7a-5c1c-40d8-b713-034aac8a6cec_Application">
    <vt:lpwstr>Microsoft Azure Information Protection</vt:lpwstr>
  </property>
  <property fmtid="{D5CDD505-2E9C-101B-9397-08002B2CF9AE}" pid="8" name="MSIP_Label_b176ec7a-5c1c-40d8-b713-034aac8a6cec_ActionId">
    <vt:lpwstr>63bd751b-bd55-4167-80cf-eb036d2ade5b</vt:lpwstr>
  </property>
  <property fmtid="{D5CDD505-2E9C-101B-9397-08002B2CF9AE}" pid="9" name="MSIP_Label_b176ec7a-5c1c-40d8-b713-034aac8a6cec_Extended_MSFT_Method">
    <vt:lpwstr>Automatic</vt:lpwstr>
  </property>
  <property fmtid="{D5CDD505-2E9C-101B-9397-08002B2CF9AE}" pid="10" name="MSIP_Label_00e7f903-1de7-4802-b372-71d725d6e445_Enabled">
    <vt:lpwstr>true</vt:lpwstr>
  </property>
  <property fmtid="{D5CDD505-2E9C-101B-9397-08002B2CF9AE}" pid="11" name="MSIP_Label_00e7f903-1de7-4802-b372-71d725d6e445_SetDate">
    <vt:lpwstr>2026-03-31T13:40:15Z</vt:lpwstr>
  </property>
  <property fmtid="{D5CDD505-2E9C-101B-9397-08002B2CF9AE}" pid="12" name="MSIP_Label_00e7f903-1de7-4802-b372-71d725d6e445_Method">
    <vt:lpwstr>Standard</vt:lpwstr>
  </property>
  <property fmtid="{D5CDD505-2E9C-101B-9397-08002B2CF9AE}" pid="13" name="MSIP_Label_00e7f903-1de7-4802-b372-71d725d6e445_Name">
    <vt:lpwstr>New Confidential</vt:lpwstr>
  </property>
  <property fmtid="{D5CDD505-2E9C-101B-9397-08002B2CF9AE}" pid="14" name="MSIP_Label_00e7f903-1de7-4802-b372-71d725d6e445_SiteId">
    <vt:lpwstr>d584a4b7-b1f2-4714-a578-fd4d43c146a6</vt:lpwstr>
  </property>
  <property fmtid="{D5CDD505-2E9C-101B-9397-08002B2CF9AE}" pid="15" name="MSIP_Label_00e7f903-1de7-4802-b372-71d725d6e445_ActionId">
    <vt:lpwstr>eb97f10f-8451-40c1-9fb5-a4f2311ab75f</vt:lpwstr>
  </property>
  <property fmtid="{D5CDD505-2E9C-101B-9397-08002B2CF9AE}" pid="16" name="MSIP_Label_00e7f903-1de7-4802-b372-71d725d6e445_ContentBits">
    <vt:lpwstr>2</vt:lpwstr>
  </property>
  <property fmtid="{D5CDD505-2E9C-101B-9397-08002B2CF9AE}" pid="17" name="MSIP_Label_00e7f903-1de7-4802-b372-71d725d6e445_Tag">
    <vt:lpwstr>10, 3, 0, 1</vt:lpwstr>
  </property>
</Properties>
</file>